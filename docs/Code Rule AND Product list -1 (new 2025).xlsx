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bookViews>
    <workbookView xWindow="-105" yWindow="-105" windowWidth="23250" windowHeight="12570" firstSheet="1" activeTab="1"/>
  </bookViews>
  <sheets>
    <sheet name="Nguyên tắc" sheetId="1" state="hidden" r:id="rId1"/>
    <sheet name="Nguyên tắc Chung" sheetId="9" r:id="rId2"/>
    <sheet name="Import data" sheetId="16" state="hidden" r:id="rId3"/>
    <sheet name="Mã NVL, SP, Gia công" sheetId="2" r:id="rId4"/>
    <sheet name="Ma SP" sheetId="12" r:id="rId5"/>
    <sheet name="Gia công chính" sheetId="8" state="hidden" r:id="rId6"/>
    <sheet name="140421" sheetId="13" r:id="rId7"/>
    <sheet name="130421" sheetId="14" r:id="rId8"/>
    <sheet name="110421" sheetId="15" r:id="rId9"/>
    <sheet name="Mã kích thước" sheetId="6" state="hidden" r:id="rId10"/>
    <sheet name="DANH MUC SP" sheetId="7" state="hidden" r:id="rId11"/>
  </sheets>
  <definedNames>
    <definedName name="_xlnm._FilterDatabase" localSheetId="5" hidden="1">'Gia công chính'!$B$3:$B$18</definedName>
    <definedName name="_xlnm._FilterDatabase" localSheetId="2" hidden="1">'Import data'!$A$2:$M$528</definedName>
    <definedName name="_xlnm._FilterDatabase" localSheetId="3">'Mã NVL, SP, Gia công'!$A$1:$G$10</definedName>
    <definedName name="_xlnm._FilterDatabase" localSheetId="4" hidden="1">'Ma SP'!$A$2:$L$520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2" l="1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D15" i="14" s="1"/>
  <c r="G223" i="12"/>
  <c r="G224" i="12"/>
  <c r="G225" i="12"/>
  <c r="G226" i="12"/>
  <c r="G227" i="12"/>
  <c r="G228" i="12"/>
  <c r="G229" i="12"/>
  <c r="D16" i="14" s="1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D18" i="15" s="1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D17" i="15" s="1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D14" i="13" s="1"/>
  <c r="G517" i="12"/>
  <c r="D15" i="13" s="1"/>
  <c r="G518" i="12"/>
  <c r="D17" i="14" s="1"/>
  <c r="G519" i="12"/>
  <c r="D19" i="15" s="1"/>
  <c r="E15" i="13"/>
  <c r="E14" i="13"/>
  <c r="E16" i="14"/>
  <c r="E17" i="14"/>
  <c r="E15" i="14"/>
  <c r="D20" i="15"/>
  <c r="E18" i="15"/>
  <c r="E19" i="15"/>
  <c r="E20" i="15"/>
  <c r="E17" i="15"/>
  <c r="F18" i="15"/>
  <c r="F19" i="15"/>
  <c r="F20" i="15"/>
  <c r="F17" i="15"/>
  <c r="F16" i="14"/>
  <c r="F17" i="14"/>
  <c r="F15" i="14"/>
  <c r="F15" i="13"/>
  <c r="F14" i="13"/>
  <c r="C18" i="15"/>
  <c r="C19" i="15"/>
  <c r="C20" i="15"/>
  <c r="C17" i="15"/>
  <c r="C16" i="14"/>
  <c r="C17" i="14"/>
  <c r="C15" i="14"/>
  <c r="C15" i="13"/>
  <c r="C14" i="13"/>
  <c r="G21" i="15" l="1"/>
  <c r="I20" i="15"/>
  <c r="H20" i="15"/>
  <c r="I19" i="15"/>
  <c r="H19" i="15"/>
  <c r="H18" i="15"/>
  <c r="H17" i="15"/>
  <c r="G16" i="15"/>
  <c r="I15" i="15"/>
  <c r="J15" i="15" s="1"/>
  <c r="K15" i="15" s="1"/>
  <c r="L15" i="15" s="1"/>
  <c r="H15" i="15"/>
  <c r="I14" i="15"/>
  <c r="J14" i="15" s="1"/>
  <c r="K14" i="15" s="1"/>
  <c r="L14" i="15" s="1"/>
  <c r="H14" i="15"/>
  <c r="J13" i="15"/>
  <c r="K13" i="15" s="1"/>
  <c r="L13" i="15" s="1"/>
  <c r="I13" i="15"/>
  <c r="H13" i="15"/>
  <c r="J12" i="15"/>
  <c r="I12" i="15"/>
  <c r="H12" i="15"/>
  <c r="I17" i="14"/>
  <c r="I16" i="14"/>
  <c r="I15" i="14"/>
  <c r="J13" i="14"/>
  <c r="K13" i="14" s="1"/>
  <c r="I13" i="14"/>
  <c r="J12" i="14"/>
  <c r="K12" i="14" s="1"/>
  <c r="I12" i="14"/>
  <c r="J11" i="14"/>
  <c r="J14" i="14" s="1"/>
  <c r="I11" i="14"/>
  <c r="I14" i="14" s="1"/>
  <c r="H11" i="14"/>
  <c r="J15" i="13"/>
  <c r="K15" i="13" s="1"/>
  <c r="L15" i="13" s="1"/>
  <c r="G16" i="13"/>
  <c r="I15" i="13"/>
  <c r="I14" i="13"/>
  <c r="I16" i="13" s="1"/>
  <c r="G13" i="13"/>
  <c r="J12" i="13"/>
  <c r="K12" i="13" s="1"/>
  <c r="L12" i="13" s="1"/>
  <c r="I12" i="13"/>
  <c r="J11" i="13"/>
  <c r="I11" i="13"/>
  <c r="J13" i="13" l="1"/>
  <c r="I13" i="13"/>
  <c r="I18" i="14"/>
  <c r="J18" i="15"/>
  <c r="K18" i="15" s="1"/>
  <c r="L18" i="15" s="1"/>
  <c r="I18" i="15"/>
  <c r="J17" i="15"/>
  <c r="K17" i="15" s="1"/>
  <c r="J19" i="15"/>
  <c r="K19" i="15" s="1"/>
  <c r="L19" i="15" s="1"/>
  <c r="I17" i="15"/>
  <c r="J17" i="14"/>
  <c r="K17" i="14" s="1"/>
  <c r="J20" i="15"/>
  <c r="K20" i="15" s="1"/>
  <c r="L20" i="15" s="1"/>
  <c r="H21" i="15"/>
  <c r="H16" i="15"/>
  <c r="I16" i="15"/>
  <c r="J16" i="15"/>
  <c r="K12" i="15"/>
  <c r="J16" i="14"/>
  <c r="K16" i="14" s="1"/>
  <c r="J15" i="14"/>
  <c r="K15" i="14" s="1"/>
  <c r="H15" i="14"/>
  <c r="K11" i="14"/>
  <c r="K14" i="14" s="1"/>
  <c r="J14" i="13"/>
  <c r="J16" i="13" s="1"/>
  <c r="K11" i="13"/>
  <c r="I21" i="15" l="1"/>
  <c r="J21" i="15"/>
  <c r="K21" i="15"/>
  <c r="L17" i="15"/>
  <c r="L21" i="15" s="1"/>
  <c r="K16" i="15"/>
  <c r="L12" i="15"/>
  <c r="L16" i="15" s="1"/>
  <c r="K18" i="14"/>
  <c r="J18" i="14"/>
  <c r="K14" i="13"/>
  <c r="K16" i="13" s="1"/>
  <c r="K13" i="13"/>
  <c r="L11" i="13"/>
  <c r="L13" i="13" s="1"/>
  <c r="L14" i="13" l="1"/>
  <c r="L16" i="13" s="1"/>
  <c r="B311" i="6" l="1"/>
  <c r="B312" i="6"/>
  <c r="B313" i="6"/>
  <c r="B314" i="6"/>
  <c r="B315" i="6"/>
  <c r="B316" i="6"/>
  <c r="B317" i="6"/>
  <c r="B318" i="6"/>
  <c r="B319" i="6"/>
  <c r="B320" i="6"/>
  <c r="B321" i="6"/>
  <c r="B322" i="6"/>
  <c r="B306" i="6"/>
  <c r="B307" i="6"/>
  <c r="B308" i="6"/>
  <c r="B309" i="6"/>
  <c r="B310" i="6"/>
  <c r="B293" i="6" l="1"/>
  <c r="B294" i="6"/>
  <c r="B295" i="6"/>
  <c r="B296" i="6"/>
  <c r="B297" i="6"/>
  <c r="B298" i="6"/>
  <c r="B299" i="6"/>
  <c r="B300" i="6"/>
  <c r="B301" i="6"/>
  <c r="B302" i="6"/>
  <c r="B303" i="6"/>
  <c r="B304" i="6"/>
  <c r="B305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52" i="6"/>
  <c r="B251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17" i="6"/>
  <c r="B118" i="6"/>
  <c r="B119" i="6"/>
  <c r="B120" i="6"/>
  <c r="B121" i="6"/>
  <c r="B122" i="6"/>
  <c r="B123" i="6"/>
  <c r="B124" i="6"/>
  <c r="B116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92" i="6"/>
  <c r="B93" i="6"/>
  <c r="B94" i="6"/>
  <c r="B95" i="6"/>
  <c r="B96" i="6"/>
  <c r="B97" i="6"/>
  <c r="B98" i="6"/>
  <c r="B99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66" i="6"/>
  <c r="B67" i="6"/>
  <c r="B68" i="6"/>
  <c r="B69" i="6"/>
  <c r="B70" i="6"/>
  <c r="B71" i="6"/>
  <c r="B72" i="6"/>
  <c r="B73" i="6"/>
  <c r="B74" i="6"/>
  <c r="B75" i="6"/>
  <c r="B76" i="6"/>
  <c r="B77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5" i="6"/>
  <c r="B16" i="6"/>
  <c r="B14" i="6"/>
  <c r="B13" i="6"/>
  <c r="B12" i="6"/>
  <c r="B11" i="6"/>
  <c r="B10" i="6"/>
  <c r="B9" i="6"/>
  <c r="B4" i="6"/>
  <c r="B5" i="6"/>
  <c r="B6" i="6"/>
  <c r="B7" i="6"/>
  <c r="B8" i="6"/>
  <c r="B2" i="6"/>
  <c r="B3" i="6"/>
</calcChain>
</file>

<file path=xl/sharedStrings.xml><?xml version="1.0" encoding="utf-8"?>
<sst xmlns="http://schemas.openxmlformats.org/spreadsheetml/2006/main" count="8704" uniqueCount="3021">
  <si>
    <t>Nguyên tắc đặt mã sản phẩm</t>
  </si>
  <si>
    <t>1,2</t>
  </si>
  <si>
    <t>Mã loại đá - 2 chữ cái</t>
  </si>
  <si>
    <t>3,4</t>
  </si>
  <si>
    <t>Mã sản phẩm - 2 số</t>
  </si>
  <si>
    <t>Mã kích thước - 3 số</t>
  </si>
  <si>
    <t>VD:</t>
  </si>
  <si>
    <t>B</t>
  </si>
  <si>
    <t>D</t>
  </si>
  <si>
    <t>Đá bazan đen</t>
  </si>
  <si>
    <t>Đá lát</t>
  </si>
  <si>
    <t>Mã</t>
  </si>
  <si>
    <t>Mô tả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</si>
  <si>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</si>
  <si>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</si>
  <si>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</si>
  <si>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</si>
  <si>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</si>
  <si>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</si>
  <si>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</si>
  <si>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</si>
  <si>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</si>
  <si>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</si>
  <si>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</si>
  <si>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</si>
  <si>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</si>
  <si>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</si>
  <si>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</si>
  <si>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Đá cubic</t>
  </si>
  <si>
    <t>Đá cây</t>
  </si>
  <si>
    <t>Đá tấm</t>
  </si>
  <si>
    <t>Đá ốp bậc thang</t>
  </si>
  <si>
    <t>Đá bậc thang</t>
  </si>
  <si>
    <t>Đá tường rào</t>
  </si>
  <si>
    <t>Đá nắp tường rào</t>
  </si>
  <si>
    <t>Đá bo tường rào</t>
  </si>
  <si>
    <t>Đá bo vỉa hè</t>
  </si>
  <si>
    <t>Đá hồ bơi</t>
  </si>
  <si>
    <t>Đá len chân tường</t>
  </si>
  <si>
    <t>Đá vành</t>
  </si>
  <si>
    <t>Đá bộ</t>
  </si>
  <si>
    <t>Mặt đốt</t>
  </si>
  <si>
    <t>2 mặt đốt</t>
  </si>
  <si>
    <t>5 mặt đốt</t>
  </si>
  <si>
    <t>6 mặt đốt</t>
  </si>
  <si>
    <t>Mặt đốt xịt nước</t>
  </si>
  <si>
    <t>5 mặt đốt xịt nước</t>
  </si>
  <si>
    <t>6 mặt đốt xịt nước</t>
  </si>
  <si>
    <t>2 mặt đốt xịt nước</t>
  </si>
  <si>
    <t>Mặt đốt, đáy cưa</t>
  </si>
  <si>
    <t>5 mặt đốt, đáy cưa</t>
  </si>
  <si>
    <t>5 mặt đốt xịt nước, đáy cưa</t>
  </si>
  <si>
    <t>18</t>
  </si>
  <si>
    <t>19</t>
  </si>
  <si>
    <t>20</t>
  </si>
  <si>
    <t>21</t>
  </si>
  <si>
    <t>22</t>
  </si>
  <si>
    <t>Mặt đốt chải 1 lần</t>
  </si>
  <si>
    <t>Mặt đốt chải 2 lần</t>
  </si>
  <si>
    <t>Mặt băm</t>
  </si>
  <si>
    <t>Mặt băm, đáy cưa</t>
  </si>
  <si>
    <t>2 mặt băm</t>
  </si>
  <si>
    <t>4 mặt băm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</si>
  <si>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</si>
  <si>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</si>
  <si>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</si>
  <si>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</si>
  <si>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</si>
  <si>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</si>
  <si>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</si>
  <si>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</si>
  <si>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</si>
  <si>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Mặt cưa, đáy cưa</t>
  </si>
  <si>
    <t>Cưa 2 mặt</t>
  </si>
  <si>
    <t>Cưa lột tay</t>
  </si>
  <si>
    <t>Mài giấy</t>
  </si>
  <si>
    <t>Mài giấy, đáy cưa</t>
  </si>
  <si>
    <t>Mài giấy 6 mặt</t>
  </si>
  <si>
    <t>Mặt hon</t>
  </si>
  <si>
    <t>Mặt phun cát</t>
  </si>
  <si>
    <t>Mặt tẩy đẹp</t>
  </si>
  <si>
    <t>Mặt tẩy đẹp, đáy cưa</t>
  </si>
  <si>
    <t>Tẩy đẹp 5 mặt</t>
  </si>
  <si>
    <t>Tẩy đẹp 6 mặt</t>
  </si>
  <si>
    <t>32</t>
  </si>
  <si>
    <t>33</t>
  </si>
  <si>
    <t>34</t>
  </si>
  <si>
    <t>35</t>
  </si>
  <si>
    <t>36</t>
  </si>
  <si>
    <t>Chẻ tay tự nhiên</t>
  </si>
  <si>
    <t>Giả cổ rung</t>
  </si>
  <si>
    <t>Giả cổ tay</t>
  </si>
  <si>
    <t>Mẻ cát</t>
  </si>
  <si>
    <t>Mẻ cát, giả cổ rung</t>
  </si>
  <si>
    <t>Mẻ cát CLC</t>
  </si>
  <si>
    <t>37</t>
  </si>
  <si>
    <t>38</t>
  </si>
  <si>
    <t>39</t>
  </si>
  <si>
    <t>40</t>
  </si>
  <si>
    <t>41</t>
  </si>
  <si>
    <t>Quay mẻ</t>
  </si>
  <si>
    <t>Quay mẻ CLC</t>
  </si>
  <si>
    <t>Tách lồi</t>
  </si>
  <si>
    <t>Mặt đốt, đáy băm</t>
  </si>
  <si>
    <t>00</t>
  </si>
  <si>
    <t>Không yêu cầu</t>
  </si>
  <si>
    <t>Cạnh cưa</t>
  </si>
  <si>
    <t>Cạnh cưa, vạt mép 1mm</t>
  </si>
  <si>
    <t>Cạnh cưa, vạt mép 2mm</t>
  </si>
  <si>
    <t>Cạnh cưa, vạt mép 3mm</t>
  </si>
  <si>
    <t>Vạt mép cạnh dài 5mm, vạt mép cạnh ngắn 3mm</t>
  </si>
  <si>
    <t>Mài giấy 5 cạnh, vạt mép cạnh dài 3mm, vạt mép cạnh ngắn 1mm</t>
  </si>
  <si>
    <t>Cạnh chẻ tay</t>
  </si>
  <si>
    <t>Cạnh tẩy tay</t>
  </si>
  <si>
    <t>Cạnh tẩy đẹp</t>
  </si>
  <si>
    <t>Cạnh sộ tay</t>
  </si>
  <si>
    <t>1 cạnh dài đốt, còn lại cưa, vạt mép 2mm</t>
  </si>
  <si>
    <t>1 cạnh dài đốt, vạt mép 3mm, các cạnh còn lại cưa</t>
  </si>
  <si>
    <t>1 cạnh dài đốt xịt nước bo tròn, cạnh còn lại vạt mép 3mm</t>
  </si>
  <si>
    <t>1 cạnh dài đốt bo tròn, các cạnh còn lại cưa</t>
  </si>
  <si>
    <t>1 cạnh dài hon</t>
  </si>
  <si>
    <t>1 cạnh dài hon, vạt mép 3mm</t>
  </si>
  <si>
    <t>1 cạnh dài hon, mép trên và dưới của cạnh hon vạt 3mm</t>
  </si>
  <si>
    <t>1 cạnh dài đốt chải 2 lần bo tròn</t>
  </si>
  <si>
    <t>1 cạnh dài giả cổ rung, vạt mép 3mm, các cạnh còn lại cưa máy</t>
  </si>
  <si>
    <t>1 cạnh dài mài giấy, vạt mép 3mm</t>
  </si>
  <si>
    <t>1 cạnh dài chẻ tay tự nhiên, còn lại cưa</t>
  </si>
  <si>
    <t>2 cạnh dài đốt, vạt mép 2mm</t>
  </si>
  <si>
    <t>2 cạnh dài đốt xịt nước, vạt 4 mép cạnh dài 3mm</t>
  </si>
  <si>
    <t>2 cạnh dài hon, 2 mép dài trên bo tròn, 2 mép dài dưới vạt 3mm</t>
  </si>
  <si>
    <t>2 cạnh dài hon, vạt 4 mép cạnh dài 3mm</t>
  </si>
  <si>
    <t>2 cạnh dài mài giấy, vạt mép trên và mép dưới 2 cạnh dài 3mm</t>
  </si>
  <si>
    <t>2 cạnh dài chẻ tay tự nhiên</t>
  </si>
  <si>
    <t>2 cạnh dài chẻ tay tự nhiên, 2 cạnh ngắn cưa</t>
  </si>
  <si>
    <t>2 cạnh dài chẻ tay tự nhiên, còn lại cưa</t>
  </si>
  <si>
    <t>4 cạnh hon, vạt mép 3mm</t>
  </si>
  <si>
    <t>Cạnh giả cổ rung</t>
  </si>
  <si>
    <t>1 cạnh ngắn đốt, các cạnh còn lại cưa, vạt mép 3mm</t>
  </si>
  <si>
    <t>5 cạnh bo tròn, cạnh còn lại cưa</t>
  </si>
  <si>
    <t>Cạnh đốt</t>
  </si>
  <si>
    <t>R</t>
  </si>
  <si>
    <t>C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</si>
  <si>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</si>
  <si>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</si>
  <si>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</si>
  <si>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</si>
  <si>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</si>
  <si>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</si>
  <si>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</si>
  <si>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</si>
  <si>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</si>
  <si>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</si>
  <si>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</si>
  <si>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</si>
  <si>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</si>
  <si>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</si>
  <si>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</si>
  <si>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</si>
  <si>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</si>
  <si>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</si>
  <si>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</si>
  <si>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</si>
  <si>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</si>
  <si>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</si>
  <si>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</si>
  <si>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</si>
  <si>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</si>
  <si>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</si>
  <si>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</si>
  <si>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</si>
  <si>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</si>
  <si>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</si>
  <si>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</si>
  <si>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</si>
  <si>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</si>
  <si>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</si>
  <si>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</si>
  <si>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</si>
  <si>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</si>
  <si>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</si>
  <si>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</si>
  <si>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</si>
  <si>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</si>
  <si>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</si>
  <si>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</si>
  <si>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</si>
  <si>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</si>
  <si>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</si>
  <si>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</si>
  <si>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</si>
  <si>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</si>
  <si>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</si>
  <si>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</si>
  <si>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</si>
  <si>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</si>
  <si>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</si>
  <si>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</si>
  <si>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</si>
  <si>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</si>
  <si>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</si>
  <si>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</si>
  <si>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</si>
  <si>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</si>
  <si>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</si>
  <si>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</si>
  <si>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</si>
  <si>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</si>
  <si>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</si>
  <si>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</si>
  <si>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</si>
  <si>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</si>
  <si>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</si>
  <si>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</si>
  <si>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</si>
  <si>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</si>
  <si>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</si>
  <si>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</si>
  <si>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</si>
  <si>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</si>
  <si>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</si>
  <si>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</si>
  <si>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</si>
  <si>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</si>
  <si>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</si>
  <si>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</si>
  <si>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</si>
  <si>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</si>
  <si>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</si>
  <si>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</si>
  <si>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</si>
  <si>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</si>
  <si>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</si>
  <si>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</si>
  <si>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</si>
  <si>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</si>
  <si>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</si>
  <si>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</si>
  <si>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</si>
  <si>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</si>
  <si>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</si>
  <si>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</si>
  <si>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</si>
  <si>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</si>
  <si>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</si>
  <si>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</si>
  <si>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</si>
  <si>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</si>
  <si>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</si>
  <si>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</si>
  <si>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</si>
  <si>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</si>
  <si>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</si>
  <si>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</si>
  <si>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</si>
  <si>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</si>
  <si>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</si>
  <si>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</si>
  <si>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</si>
  <si>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</si>
  <si>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</si>
  <si>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</si>
  <si>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</si>
  <si>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</si>
  <si>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</si>
  <si>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</si>
  <si>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</si>
  <si>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</si>
  <si>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</si>
  <si>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</si>
  <si>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</si>
  <si>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</si>
  <si>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</si>
  <si>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</si>
  <si>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</si>
  <si>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</si>
  <si>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</si>
  <si>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</si>
  <si>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</si>
  <si>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</si>
  <si>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</si>
  <si>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</si>
  <si>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</si>
  <si>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</si>
  <si>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</si>
  <si>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</si>
  <si>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</si>
  <si>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</si>
  <si>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</si>
  <si>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</si>
  <si>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</si>
  <si>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</si>
  <si>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</si>
  <si>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</si>
  <si>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</si>
  <si>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</si>
  <si>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</si>
  <si>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</si>
  <si>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</si>
  <si>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</si>
  <si>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</si>
  <si>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</si>
  <si>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</si>
  <si>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</si>
  <si>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</si>
  <si>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</si>
  <si>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</si>
  <si>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</si>
  <si>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</si>
  <si>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</si>
  <si>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</si>
  <si>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</si>
  <si>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</si>
  <si>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</si>
  <si>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</si>
  <si>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</si>
  <si>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</si>
  <si>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</si>
  <si>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</si>
  <si>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</si>
  <si>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</si>
  <si>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</si>
  <si>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</si>
  <si>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</si>
  <si>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</si>
  <si>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</si>
  <si>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</si>
  <si>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</si>
  <si>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</si>
  <si>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</si>
  <si>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</si>
  <si>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</si>
  <si>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</si>
  <si>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</si>
  <si>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</si>
  <si>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</si>
  <si>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</si>
  <si>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</si>
  <si>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</si>
  <si>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</si>
  <si>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</si>
  <si>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</si>
  <si>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</si>
  <si>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</si>
  <si>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</si>
  <si>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</si>
  <si>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</si>
  <si>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</si>
  <si>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</si>
  <si>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</si>
  <si>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</si>
  <si>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</si>
  <si>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</si>
  <si>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</si>
  <si>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</si>
  <si>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</si>
  <si>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</si>
  <si>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</si>
  <si>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</si>
  <si>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</si>
  <si>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</si>
  <si>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</si>
  <si>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</si>
  <si>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</si>
  <si>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</si>
  <si>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</si>
  <si>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</si>
  <si>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</si>
  <si>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</si>
  <si>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</si>
  <si>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</si>
  <si>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</si>
  <si>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</si>
  <si>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</si>
  <si>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</si>
  <si>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</si>
  <si>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</si>
  <si>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</si>
  <si>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</si>
  <si>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</si>
  <si>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</si>
  <si>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</si>
  <si>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</si>
  <si>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</si>
  <si>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</si>
  <si>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</si>
  <si>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</si>
  <si>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</si>
  <si>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</si>
  <si>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</si>
  <si>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</si>
  <si>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</si>
  <si>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</si>
  <si>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5/3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</si>
  <si>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</si>
  <si>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</si>
  <si>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</si>
  <si>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</si>
  <si>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</si>
  <si>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</si>
  <si>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</si>
  <si>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</si>
  <si>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</si>
  <si>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</si>
  <si>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</si>
  <si>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</si>
  <si>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</si>
  <si>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</si>
  <si>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</si>
  <si>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</si>
  <si>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</si>
  <si>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</si>
  <si>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</si>
  <si>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</si>
  <si>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</si>
  <si>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</si>
  <si>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</si>
  <si>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</si>
  <si>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</si>
  <si>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</si>
  <si>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</si>
  <si>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</si>
  <si>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</si>
  <si>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</si>
  <si>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</si>
  <si>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</si>
  <si>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</si>
  <si>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</si>
  <si>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</si>
  <si>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</si>
  <si>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</si>
  <si>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</si>
  <si>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</si>
  <si>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</si>
  <si>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</si>
  <si>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</si>
  <si>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</si>
  <si>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</si>
  <si>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</si>
  <si>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</si>
  <si>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</si>
  <si>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</si>
  <si>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</si>
  <si>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</si>
  <si>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</si>
  <si>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</si>
  <si>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</si>
  <si>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</si>
  <si>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</si>
  <si>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</si>
  <si>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</si>
  <si>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</si>
  <si>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</si>
  <si>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</si>
  <si>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</si>
  <si>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</si>
  <si>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</si>
  <si>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</si>
  <si>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</si>
  <si>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</si>
  <si>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</si>
  <si>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</si>
  <si>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</si>
  <si>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</si>
  <si>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</si>
  <si>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14-18-22</t>
  </si>
  <si>
    <t>150-220</t>
  </si>
  <si>
    <t>180-220</t>
  </si>
  <si>
    <t>19.5-60</t>
  </si>
  <si>
    <t>19.5-40</t>
  </si>
  <si>
    <t>20-30-40</t>
  </si>
  <si>
    <t>20-40</t>
  </si>
  <si>
    <t>29.7-60</t>
  </si>
  <si>
    <t>30-45-60</t>
  </si>
  <si>
    <t>45-50</t>
  </si>
  <si>
    <t>50-60</t>
  </si>
  <si>
    <t>90-110</t>
  </si>
  <si>
    <t>Mã KT</t>
  </si>
  <si>
    <t>Mã gia công bề mặt</t>
  </si>
  <si>
    <t>Mã gia công cạnh</t>
  </si>
  <si>
    <t>Mã sản phẩm</t>
  </si>
  <si>
    <t>Loại đá</t>
  </si>
  <si>
    <t>Loại sản phẩm</t>
  </si>
  <si>
    <t>Gia công</t>
  </si>
  <si>
    <t>Đóng gói</t>
  </si>
  <si>
    <t>Ghi chú</t>
  </si>
  <si>
    <t>BD061100216-10V</t>
  </si>
  <si>
    <t>Bazan đen</t>
  </si>
  <si>
    <t>5 mặt đốt xịt nước, vạt mép 3mm</t>
  </si>
  <si>
    <t>BD061100216-5V</t>
  </si>
  <si>
    <t>BD061100251</t>
  </si>
  <si>
    <t>BD061100272</t>
  </si>
  <si>
    <t>BD061100152</t>
  </si>
  <si>
    <t>BD061306184</t>
  </si>
  <si>
    <t>6 mặt đốt xịt nước, vạt mép cạnh dài 5mm, vạt mép cạnh ngắn 3mm</t>
  </si>
  <si>
    <t>BD061300185</t>
  </si>
  <si>
    <t>6 mặt đốt xịt nước, vạt mép 3mm</t>
  </si>
  <si>
    <t>BD061306187</t>
  </si>
  <si>
    <t>BD061306193</t>
  </si>
  <si>
    <t>BD061306216-10V</t>
  </si>
  <si>
    <t>BD061306216-5V</t>
  </si>
  <si>
    <t>BD061306216-8V</t>
  </si>
  <si>
    <t>BD061306241</t>
  </si>
  <si>
    <t>BD061306251-5V</t>
  </si>
  <si>
    <t>BD061306251-6V</t>
  </si>
  <si>
    <t>BD061300264</t>
  </si>
  <si>
    <t>BD061306272-5V</t>
  </si>
  <si>
    <t>BD061306272-6V</t>
  </si>
  <si>
    <t>BD061306045</t>
  </si>
  <si>
    <t>BD061300052</t>
  </si>
  <si>
    <t>BD061306068</t>
  </si>
  <si>
    <t>BD061300084</t>
  </si>
  <si>
    <t>BD061306093</t>
  </si>
  <si>
    <t>BD061300145</t>
  </si>
  <si>
    <t>BD061306152</t>
  </si>
  <si>
    <t>BD061306159</t>
  </si>
  <si>
    <t>BD103300053</t>
  </si>
  <si>
    <t>BD010805036</t>
  </si>
  <si>
    <t>Mặt đốt xịt nước, cạnh cưa, vạt mép 3mm</t>
  </si>
  <si>
    <t>BD010908010</t>
  </si>
  <si>
    <t>Mặt đốt xịt nước, cạnh chẻ tay, đáy cưa</t>
  </si>
  <si>
    <t>BD010908011</t>
  </si>
  <si>
    <t>BD010908026</t>
  </si>
  <si>
    <t>BD010908029</t>
  </si>
  <si>
    <t>BD010908001</t>
  </si>
  <si>
    <t>BD010908006</t>
  </si>
  <si>
    <t>BD013300011</t>
  </si>
  <si>
    <t>BD013300019</t>
  </si>
  <si>
    <t>BD013300020</t>
  </si>
  <si>
    <t>BD013300038</t>
  </si>
  <si>
    <t>BD013300039</t>
  </si>
  <si>
    <t>BD013300068</t>
  </si>
  <si>
    <t>BD013300005</t>
  </si>
  <si>
    <t>BD031300194</t>
  </si>
  <si>
    <t>BD031300191</t>
  </si>
  <si>
    <t>BD031300200</t>
  </si>
  <si>
    <t>BD031300197</t>
  </si>
  <si>
    <t>BD031300198</t>
  </si>
  <si>
    <t>BD031300199-20V</t>
  </si>
  <si>
    <t>BD031300199-24V</t>
  </si>
  <si>
    <t>BD031300208</t>
  </si>
  <si>
    <t>BD031300209</t>
  </si>
  <si>
    <t>BD031300219</t>
  </si>
  <si>
    <t>BD031300221</t>
  </si>
  <si>
    <t>BD031300248</t>
  </si>
  <si>
    <t>BD031300267</t>
  </si>
  <si>
    <t>BD031300266-14V</t>
  </si>
  <si>
    <t>BD031300266-16V</t>
  </si>
  <si>
    <t>BD031300273</t>
  </si>
  <si>
    <t>BD031300297-10V</t>
  </si>
  <si>
    <t>BD031300297-12V</t>
  </si>
  <si>
    <t>BD031300303</t>
  </si>
  <si>
    <t>BD031300049</t>
  </si>
  <si>
    <t>BD031300063</t>
  </si>
  <si>
    <t>BD031300086</t>
  </si>
  <si>
    <t>BD031300089</t>
  </si>
  <si>
    <t>BD031300087</t>
  </si>
  <si>
    <t>BD031300088</t>
  </si>
  <si>
    <t>BD031300108</t>
  </si>
  <si>
    <t>BD031300146</t>
  </si>
  <si>
    <t>BD031300147</t>
  </si>
  <si>
    <t>BD033300188</t>
  </si>
  <si>
    <t>BD033300199</t>
  </si>
  <si>
    <t>BD033300235</t>
  </si>
  <si>
    <t>BD033300067</t>
  </si>
  <si>
    <t>BD033300106</t>
  </si>
  <si>
    <t>BD033300167</t>
  </si>
  <si>
    <t>BD021300191</t>
  </si>
  <si>
    <t>BD021300197</t>
  </si>
  <si>
    <t>BD021300199</t>
  </si>
  <si>
    <t>BD021300248</t>
  </si>
  <si>
    <t>BD021300266</t>
  </si>
  <si>
    <t>BD021300161</t>
  </si>
  <si>
    <t>BD020805305</t>
  </si>
  <si>
    <t>BD020802021</t>
  </si>
  <si>
    <t xml:space="preserve">Mặt đốt xịt nước, cạnh cưa </t>
  </si>
  <si>
    <t>BD020805035</t>
  </si>
  <si>
    <t>BD020805061</t>
  </si>
  <si>
    <t>BD020805111</t>
  </si>
  <si>
    <t>BD020805119</t>
  </si>
  <si>
    <t>BD020803123</t>
  </si>
  <si>
    <t>Mặt đốt xịt nước, cạnh cưa, vạt mép 1mm</t>
  </si>
  <si>
    <t>BD020805158</t>
  </si>
  <si>
    <t>BD020805160</t>
  </si>
  <si>
    <t>BD020805170</t>
  </si>
  <si>
    <t>BD020805174</t>
  </si>
  <si>
    <t>BD020803174</t>
  </si>
  <si>
    <t>BD040800306</t>
  </si>
  <si>
    <t>Đốt xịt nước</t>
  </si>
  <si>
    <t>BD040800307</t>
  </si>
  <si>
    <t>BD040800308</t>
  </si>
  <si>
    <t>BD040800309</t>
  </si>
  <si>
    <t>BD040800310</t>
  </si>
  <si>
    <t>BD040830207</t>
  </si>
  <si>
    <t>Mặt đốt xịt nước, 2 cạnh dài hon, 2 mép dài trên bo tròn R=0.5cm và hon cùng màu cạnh, 2 mép dài dưới vạt 3mm</t>
  </si>
  <si>
    <t>BD081200150</t>
  </si>
  <si>
    <t>5 mặt đốt xịt nước, 2 rãnh thoát nước dọc 2 cạnh dài 0.5x0.5cm cách mép 1.5cm, vạt mép 3mm, đáy cưa</t>
  </si>
  <si>
    <t>BD081200151</t>
  </si>
  <si>
    <t>BD081200153</t>
  </si>
  <si>
    <t>BD080833202</t>
  </si>
  <si>
    <t>Mặt đốt xịt nước, 2 cạnh dài chẻ tay tự nhiên, 2 rãnh thoát nước dọc 2 cạnh dài 0.8x0.8cm cách mép 2cm</t>
  </si>
  <si>
    <t>BD080833205</t>
  </si>
  <si>
    <t>Mặt đốt xịt nước, 2 cạnh dài chẻ tay tự nhiên, 2 rãnh thoát nước dọc 2 cạnh dài 0.5x0.5cm cách mép 1.5cm</t>
  </si>
  <si>
    <t>BD080831195</t>
  </si>
  <si>
    <t>Mặt đốt xịt nước, 2 cạnh dài hon, 2 rãnh thoát nước dọc 2 cạnh dài 0.5x0.5cm cách mép 1.5cm, vạt 4 mép cạnh dài 3mm</t>
  </si>
  <si>
    <t>BD080831204</t>
  </si>
  <si>
    <t>Mặt đốt xịt nước, 2 cạnh dài hon, 2 rãnh thoát nước dọc 2 cạnh dài 0.5x0.5cm cách mép 1.5cm, rãnh cắt hết, vạt mép cạnh dài 3mm</t>
  </si>
  <si>
    <t>BD080831205</t>
  </si>
  <si>
    <t>BD080831213</t>
  </si>
  <si>
    <t>BD080831214</t>
  </si>
  <si>
    <t>BD080831218</t>
  </si>
  <si>
    <t>BD080836097</t>
  </si>
  <si>
    <t>Mặt đốt xịt nước, 4 cạnh hon, 4 rãnh thoát nước dọc theo cạnh cách mép 2cm, vạt mép 3mm</t>
  </si>
  <si>
    <t>BD080818092</t>
  </si>
  <si>
    <t>Mặt đốt xịt nước, 1 cạnh dài đốt xịt nước bo tròn R=1.5cm, cạnh còn lại vạt mép 3mm</t>
  </si>
  <si>
    <t>BD080829111</t>
  </si>
  <si>
    <t>Mặt đốt xịt nước, 2 cạnh dài đốt xịt nước, 2 rãnh thoát nước dọc 2 cạnh dài 0.5x0.5cm cách mép 1.5cm, vạt 4 mép cạnh dài 3mm</t>
  </si>
  <si>
    <t>BD080829115</t>
  </si>
  <si>
    <t>BD051100170</t>
  </si>
  <si>
    <t>BD050823240</t>
  </si>
  <si>
    <t>Mặt đốt xịt nước, 1 cạnh dài hon, mép trên và dưới của cạnh hon vạt 3mm</t>
  </si>
  <si>
    <t>BD050823270</t>
  </si>
  <si>
    <t>BD050823300</t>
  </si>
  <si>
    <t>BD052703237</t>
  </si>
  <si>
    <t>Mặt hon, cạnh cưa, vạt mép 1mm</t>
  </si>
  <si>
    <t>BD052703265</t>
  </si>
  <si>
    <t>BD052703296</t>
  </si>
  <si>
    <t>BD071017190</t>
  </si>
  <si>
    <t>Mặt đốt xịt nước, 1 cạnh dài đốt xịt nước, vạt mép 3mm, đáy đốt xịt nước</t>
  </si>
  <si>
    <t>BD072134045</t>
  </si>
  <si>
    <t>Mặt cưa, 2 cạnh ngắn cưa, 2 cạnh dài chẻ tay tự nhiên, đáy cưa</t>
  </si>
  <si>
    <t>BU063500211</t>
  </si>
  <si>
    <t>Bluestone</t>
  </si>
  <si>
    <t>BU063500250</t>
  </si>
  <si>
    <t>BU062400211</t>
  </si>
  <si>
    <t>BU062400250</t>
  </si>
  <si>
    <t>BU062406216</t>
  </si>
  <si>
    <t>Mài giấy, vạt mép cạnh dài 5mm, vạt mép cạnh ngắn 3mm</t>
  </si>
  <si>
    <t>BU062406272</t>
  </si>
  <si>
    <t>BU062406093</t>
  </si>
  <si>
    <t>BU013400009</t>
  </si>
  <si>
    <t>BU013400036</t>
  </si>
  <si>
    <t>BU143400311</t>
  </si>
  <si>
    <t>Giả cổ rung bộ</t>
  </si>
  <si>
    <t>BU143400313</t>
  </si>
  <si>
    <t>BU143500312</t>
  </si>
  <si>
    <t>Giả cổ tay bộ</t>
  </si>
  <si>
    <t>BU143500315</t>
  </si>
  <si>
    <t>BU033413112</t>
  </si>
  <si>
    <t>Giả cổ rung mặt và cạnh</t>
  </si>
  <si>
    <t>BU033500186</t>
  </si>
  <si>
    <t>BU033500190</t>
  </si>
  <si>
    <t>BU033500200</t>
  </si>
  <si>
    <t>BU033500206</t>
  </si>
  <si>
    <t>BU033500215</t>
  </si>
  <si>
    <t>BU033500249</t>
  </si>
  <si>
    <t>BU033500089</t>
  </si>
  <si>
    <t>BU033500148</t>
  </si>
  <si>
    <t>BU032400186</t>
  </si>
  <si>
    <t>BU032400190</t>
  </si>
  <si>
    <t>BU032400196</t>
  </si>
  <si>
    <t>BU032400199</t>
  </si>
  <si>
    <t>BU032400206</t>
  </si>
  <si>
    <t>BU032400248</t>
  </si>
  <si>
    <t>BU032400088</t>
  </si>
  <si>
    <t>BU032400147</t>
  </si>
  <si>
    <t>BU032600191</t>
  </si>
  <si>
    <t>Mài giấy 6 mặt, vạt mép 3mm</t>
  </si>
  <si>
    <t>BU032600199</t>
  </si>
  <si>
    <t>BU032600248</t>
  </si>
  <si>
    <t>BU032600266</t>
  </si>
  <si>
    <t>BU023424223</t>
  </si>
  <si>
    <t>Mặt và 1 cạnh dài giả cổ rung, các cạnh còn lại cưa máy, vạt mép 1 cạnh dài 3mm</t>
  </si>
  <si>
    <t>BU023424224</t>
  </si>
  <si>
    <t>BU023400021</t>
  </si>
  <si>
    <t>BU023400041</t>
  </si>
  <si>
    <t>BU023400042</t>
  </si>
  <si>
    <t>BU023400043</t>
  </si>
  <si>
    <t>BU023400032</t>
  </si>
  <si>
    <t>BU023400033</t>
  </si>
  <si>
    <t>BU023400047</t>
  </si>
  <si>
    <t>BU023400054</t>
  </si>
  <si>
    <t>BU023400073</t>
  </si>
  <si>
    <t>BU023424099</t>
  </si>
  <si>
    <t>BU023400095</t>
  </si>
  <si>
    <t>BU023400110</t>
  </si>
  <si>
    <t>BU023400111</t>
  </si>
  <si>
    <t>BU023400117</t>
  </si>
  <si>
    <t>BU023400118</t>
  </si>
  <si>
    <t>BU023400119</t>
  </si>
  <si>
    <t>BU023400121</t>
  </si>
  <si>
    <t>BU023400122</t>
  </si>
  <si>
    <t>BU023424136</t>
  </si>
  <si>
    <t>BU023424143</t>
  </si>
  <si>
    <t>BU023424154</t>
  </si>
  <si>
    <t>BU023400160</t>
  </si>
  <si>
    <t>BU023424165</t>
  </si>
  <si>
    <t>BU023400173</t>
  </si>
  <si>
    <t>BU023400174</t>
  </si>
  <si>
    <t>BU023424180</t>
  </si>
  <si>
    <t>BU021400111</t>
  </si>
  <si>
    <t>Đốt chải</t>
  </si>
  <si>
    <t>BU021400119</t>
  </si>
  <si>
    <t>BU022400041</t>
  </si>
  <si>
    <t>BU022400069</t>
  </si>
  <si>
    <t>BU022400072</t>
  </si>
  <si>
    <t>BU022400073</t>
  </si>
  <si>
    <t>BU022400095</t>
  </si>
  <si>
    <t>BU022400117</t>
  </si>
  <si>
    <t>BU022400118</t>
  </si>
  <si>
    <t>BU022400122</t>
  </si>
  <si>
    <t>BU023700072</t>
  </si>
  <si>
    <t>BU023600054</t>
  </si>
  <si>
    <t>BU023600073</t>
  </si>
  <si>
    <t>BU023800072</t>
  </si>
  <si>
    <t>BU023900022</t>
  </si>
  <si>
    <t>BU023900023</t>
  </si>
  <si>
    <t>BU023900025</t>
  </si>
  <si>
    <t>BU023900043</t>
  </si>
  <si>
    <t>BU023900033</t>
  </si>
  <si>
    <t>BU023900046</t>
  </si>
  <si>
    <t>BU024000022</t>
  </si>
  <si>
    <t>BU024000024</t>
  </si>
  <si>
    <t>BU024000025</t>
  </si>
  <si>
    <t>BU024000042</t>
  </si>
  <si>
    <t>BU024100033</t>
  </si>
  <si>
    <t>BU112400226</t>
  </si>
  <si>
    <t>BU112400230</t>
  </si>
  <si>
    <t>BU082507189</t>
  </si>
  <si>
    <t>Mài giấy 5 cạnh, 2 rãnh thoát nước dọc 2 cạnh dài 0.8x0.8 cm cách mép 1,5 cm, vạt mép cạnh dài 3mm, vạt mép cạnh ngắn 1mm, đáy cưa</t>
  </si>
  <si>
    <t>BU082507204</t>
  </si>
  <si>
    <t>BU082425204</t>
  </si>
  <si>
    <t>Mặt và 1 cạnh dài mài giấy, vạt mép 3mm</t>
  </si>
  <si>
    <t>BU082507213</t>
  </si>
  <si>
    <t>BU082432214</t>
  </si>
  <si>
    <t>Mặt và 2 cạnh dài mài giấy, 2 rãnh thoát nước dọc 2 cạnh dài 0.5x0.5cm cách mép 2cm, vạt mép trên và mép dưới 2 cạnh dài 3mm</t>
  </si>
  <si>
    <t>BU082507217</t>
  </si>
  <si>
    <t>BU082600239</t>
  </si>
  <si>
    <t>BU082600240</t>
  </si>
  <si>
    <t>BX061600211</t>
  </si>
  <si>
    <t>Bazan xám</t>
  </si>
  <si>
    <t>6 mặt đốt chải, vạt mép 3mm</t>
  </si>
  <si>
    <t>BX060700212</t>
  </si>
  <si>
    <t>6 mặt đốt, vạt mép 3mm</t>
  </si>
  <si>
    <t>BX061600250</t>
  </si>
  <si>
    <t>BX061600269</t>
  </si>
  <si>
    <t>BX060700293</t>
  </si>
  <si>
    <t>BX060700299</t>
  </si>
  <si>
    <t>BX103300053</t>
  </si>
  <si>
    <t>BX010304028</t>
  </si>
  <si>
    <t>Mặt đốt, cạnh cưa, vạt mép 2mm, đáy băm bám hồ</t>
  </si>
  <si>
    <t>BX010208017</t>
  </si>
  <si>
    <t>Mặt đốt, cạnh chẻ tay, đáy cưa</t>
  </si>
  <si>
    <t>BX010208019</t>
  </si>
  <si>
    <t>BX010208027</t>
  </si>
  <si>
    <t>BX013300011</t>
  </si>
  <si>
    <t>BX013300012</t>
  </si>
  <si>
    <t>BX013300013</t>
  </si>
  <si>
    <t>BX013300016</t>
  </si>
  <si>
    <t>BX013300019</t>
  </si>
  <si>
    <t>BX013300030</t>
  </si>
  <si>
    <t>BX013300031</t>
  </si>
  <si>
    <t>BX013300040</t>
  </si>
  <si>
    <t>BX013300038</t>
  </si>
  <si>
    <t>BX013300039</t>
  </si>
  <si>
    <t>BX013300044</t>
  </si>
  <si>
    <t>BX013300050</t>
  </si>
  <si>
    <t>BX013300057</t>
  </si>
  <si>
    <t>BX013300076</t>
  </si>
  <si>
    <t>BX013300098</t>
  </si>
  <si>
    <t>BX013300001</t>
  </si>
  <si>
    <t>BX013300003</t>
  </si>
  <si>
    <t>BX013300007-500V</t>
  </si>
  <si>
    <t>BX013300007-726V</t>
  </si>
  <si>
    <t>BX010026051</t>
  </si>
  <si>
    <t>BX031600199</t>
  </si>
  <si>
    <t>BX031600248</t>
  </si>
  <si>
    <t>BX031600266</t>
  </si>
  <si>
    <t>BX031600271</t>
  </si>
  <si>
    <t>BX031600263</t>
  </si>
  <si>
    <t>BX031600280</t>
  </si>
  <si>
    <t>BX031600281</t>
  </si>
  <si>
    <t>BX031600278</t>
  </si>
  <si>
    <t>BX031600279</t>
  </si>
  <si>
    <t>BX031600060</t>
  </si>
  <si>
    <t>BX031600147</t>
  </si>
  <si>
    <t>BX030700167</t>
  </si>
  <si>
    <t>BX030412104</t>
  </si>
  <si>
    <t>2 mặt đốt, cạnh sộ tay</t>
  </si>
  <si>
    <t>BX033300199</t>
  </si>
  <si>
    <t>BX032300185</t>
  </si>
  <si>
    <t>BX032300191</t>
  </si>
  <si>
    <t>BX032300192</t>
  </si>
  <si>
    <t>BX032300193</t>
  </si>
  <si>
    <t>BX032300200</t>
  </si>
  <si>
    <t>BX032300201</t>
  </si>
  <si>
    <t>BX032300199</t>
  </si>
  <si>
    <t>BX032300210</t>
  </si>
  <si>
    <t>BX032300264</t>
  </si>
  <si>
    <t>BX032300267</t>
  </si>
  <si>
    <t>BX032300287</t>
  </si>
  <si>
    <t>BX032300295</t>
  </si>
  <si>
    <t>BX032300298</t>
  </si>
  <si>
    <t>BX032300048</t>
  </si>
  <si>
    <t>BX032300059</t>
  </si>
  <si>
    <t>BX032300084</t>
  </si>
  <si>
    <t>BX032300089</t>
  </si>
  <si>
    <t>BX032300090</t>
  </si>
  <si>
    <t>BX032300141</t>
  </si>
  <si>
    <t>BX032300145</t>
  </si>
  <si>
    <t>BX032300148</t>
  </si>
  <si>
    <t>BX032300149</t>
  </si>
  <si>
    <t>BX032300321</t>
  </si>
  <si>
    <t>BX021600242</t>
  </si>
  <si>
    <t>BX021600254</t>
  </si>
  <si>
    <t>BX021600131</t>
  </si>
  <si>
    <t>BX020102220</t>
  </si>
  <si>
    <t>Mặt đốt, cạnh cưa</t>
  </si>
  <si>
    <t>BX021402225</t>
  </si>
  <si>
    <t>Mặt đốt chải, cạnh cưa</t>
  </si>
  <si>
    <t>BX021402228</t>
  </si>
  <si>
    <t>BX021402229</t>
  </si>
  <si>
    <t>BX020105014</t>
  </si>
  <si>
    <t>Mặt đốt, cạnh cưa, vạt mép 3mm</t>
  </si>
  <si>
    <t>BX021402243</t>
  </si>
  <si>
    <t>BX021402244</t>
  </si>
  <si>
    <t>BX021402245</t>
  </si>
  <si>
    <t>BX021402246</t>
  </si>
  <si>
    <t>BX021402247</t>
  </si>
  <si>
    <t>BX021402262</t>
  </si>
  <si>
    <t>BX021402275</t>
  </si>
  <si>
    <t>BX021402276</t>
  </si>
  <si>
    <t>BX021400034</t>
  </si>
  <si>
    <t>Mặt đốt chải</t>
  </si>
  <si>
    <t>BX020202055</t>
  </si>
  <si>
    <t>Mặt đốt, cạnh cưa, đáy cưa</t>
  </si>
  <si>
    <t>BX021402064</t>
  </si>
  <si>
    <t>BX020105065</t>
  </si>
  <si>
    <t>BX021402077</t>
  </si>
  <si>
    <t>BX021402078</t>
  </si>
  <si>
    <t>BX021403081</t>
  </si>
  <si>
    <t>Mặt đốt chải, cạnh cưa, vạt mép 1mm</t>
  </si>
  <si>
    <t>BX021403082</t>
  </si>
  <si>
    <t>BX020202080</t>
  </si>
  <si>
    <t>BX020105097</t>
  </si>
  <si>
    <t>BX020202111</t>
  </si>
  <si>
    <t>BX021405123</t>
  </si>
  <si>
    <t>Mặt đốt chải, cạnh cưa, vạt mép 3mm</t>
  </si>
  <si>
    <t>BX021403134</t>
  </si>
  <si>
    <t>BX021403135</t>
  </si>
  <si>
    <t>BX020103129</t>
  </si>
  <si>
    <t>Mặt đốt, cạnh cưa, vạt mép 1mm</t>
  </si>
  <si>
    <t>BX020105130</t>
  </si>
  <si>
    <t>BX021402137</t>
  </si>
  <si>
    <t>BX021402138</t>
  </si>
  <si>
    <t>BX021402142</t>
  </si>
  <si>
    <t>BX021402144</t>
  </si>
  <si>
    <t>BX021402176</t>
  </si>
  <si>
    <t>BX021402177</t>
  </si>
  <si>
    <t>BX021402181</t>
  </si>
  <si>
    <t>BX021402182</t>
  </si>
  <si>
    <t>BX021402183</t>
  </si>
  <si>
    <t>BX020208314</t>
  </si>
  <si>
    <t>BX020208056</t>
  </si>
  <si>
    <t>BX020208113</t>
  </si>
  <si>
    <t>BX020208120</t>
  </si>
  <si>
    <t>BX020208171</t>
  </si>
  <si>
    <t>BX020127015</t>
  </si>
  <si>
    <t>Mặt đốt, 1 cạnh ngắn đốt, các cạnh còn lại cưa, vạt mép 3mm</t>
  </si>
  <si>
    <t>BX022700227</t>
  </si>
  <si>
    <t>Mặt hon, vạt mép 1mm</t>
  </si>
  <si>
    <t>BX022700231</t>
  </si>
  <si>
    <t>BX022721232</t>
  </si>
  <si>
    <t>Mặt hon, 1 cạnh dài hon</t>
  </si>
  <si>
    <t>BX022700233</t>
  </si>
  <si>
    <t>BX022721234</t>
  </si>
  <si>
    <t>BX022721252</t>
  </si>
  <si>
    <t>BX022721253</t>
  </si>
  <si>
    <t>BX022700261</t>
  </si>
  <si>
    <t>BX022700274</t>
  </si>
  <si>
    <t>BX022721285</t>
  </si>
  <si>
    <t>BX022721286</t>
  </si>
  <si>
    <t>BX022700034</t>
  </si>
  <si>
    <t>BX022700058</t>
  </si>
  <si>
    <t>BX022700124</t>
  </si>
  <si>
    <t>BX022700125</t>
  </si>
  <si>
    <t>BX022700126</t>
  </si>
  <si>
    <t>BX022703127</t>
  </si>
  <si>
    <t>BX022700128</t>
  </si>
  <si>
    <t>BX022700132</t>
  </si>
  <si>
    <t>BX022703133</t>
  </si>
  <si>
    <t>BX022700163</t>
  </si>
  <si>
    <t>BX022700164</t>
  </si>
  <si>
    <t>BX022700178</t>
  </si>
  <si>
    <t>BX022703179</t>
  </si>
  <si>
    <t>BX022800034</t>
  </si>
  <si>
    <t>BX021700034</t>
  </si>
  <si>
    <t>BX020800034</t>
  </si>
  <si>
    <t>BX040103277</t>
  </si>
  <si>
    <t>BX040103294</t>
  </si>
  <si>
    <t>BX042703284</t>
  </si>
  <si>
    <t>BX042700301</t>
  </si>
  <si>
    <t>BX132200320</t>
  </si>
  <si>
    <t>BX120103066</t>
  </si>
  <si>
    <t>BX120104083</t>
  </si>
  <si>
    <t>Mặt đốt, cạnh cưa, vạt mép 2mm</t>
  </si>
  <si>
    <t>BX120103102</t>
  </si>
  <si>
    <t>BX120104139</t>
  </si>
  <si>
    <t>BX120103155</t>
  </si>
  <si>
    <t>BX120104156</t>
  </si>
  <si>
    <t>BX080128203</t>
  </si>
  <si>
    <t>Mặt đốt, 2 cạnh dài đốt, vạt mép 2mm, 2 rãnh thoát nước dọc 2 cạnh dài 0.5 x 0.5cm cách mép 1cm</t>
  </si>
  <si>
    <t>BX080128283</t>
  </si>
  <si>
    <t>BX080128091</t>
  </si>
  <si>
    <t>BX050104255</t>
  </si>
  <si>
    <t>BX050104256</t>
  </si>
  <si>
    <t>BX050104282</t>
  </si>
  <si>
    <t>BX050114257</t>
  </si>
  <si>
    <t>Mặt đốt, 1 cạnh dài đốt, còn lại cưa, vạt mép 2mm</t>
  </si>
  <si>
    <t>BX050114258</t>
  </si>
  <si>
    <t>Mặt đốt, mặt sau cắt bỏ 2 mảnh (21x17x3cm và 23x17x3cm), 1 cạnh dài đốt, còn lại cưa, vạt mép 2mm</t>
  </si>
  <si>
    <t>BX050114259</t>
  </si>
  <si>
    <t>BX050114260</t>
  </si>
  <si>
    <t>BX073300062</t>
  </si>
  <si>
    <t>BX073300070</t>
  </si>
  <si>
    <t>BX070035317</t>
  </si>
  <si>
    <t>BX070035318</t>
  </si>
  <si>
    <t>BX070035316</t>
  </si>
  <si>
    <t>GD013200007</t>
  </si>
  <si>
    <t>Granite đỏ</t>
  </si>
  <si>
    <t>GD013200031</t>
  </si>
  <si>
    <t>GD013200050</t>
  </si>
  <si>
    <t>GD013200003</t>
  </si>
  <si>
    <t>GD011808018</t>
  </si>
  <si>
    <t>Mặt băm, cạnh chẻ tay, đáy cưa</t>
  </si>
  <si>
    <t>GD030700167</t>
  </si>
  <si>
    <t>GD020202055</t>
  </si>
  <si>
    <t>GD020202111</t>
  </si>
  <si>
    <t>GD020202119</t>
  </si>
  <si>
    <t>GD020202170</t>
  </si>
  <si>
    <t>GH013200031</t>
  </si>
  <si>
    <t>Granite hồng</t>
  </si>
  <si>
    <t>GH013200007</t>
  </si>
  <si>
    <t>GH031910166</t>
  </si>
  <si>
    <t>2 mặt băm, cạnh tẩy tay</t>
  </si>
  <si>
    <t>GT013300009</t>
  </si>
  <si>
    <t>Granite trắng</t>
  </si>
  <si>
    <t>GT013300037</t>
  </si>
  <si>
    <t>GT013200031</t>
  </si>
  <si>
    <t>GT013200007</t>
  </si>
  <si>
    <t>GT013200050</t>
  </si>
  <si>
    <t>GT013200004</t>
  </si>
  <si>
    <t>GT012908002</t>
  </si>
  <si>
    <t>Mặt tẩy đẹp, cạnh chẻ tay</t>
  </si>
  <si>
    <t>GT033200288</t>
  </si>
  <si>
    <t>GT033200104</t>
  </si>
  <si>
    <t>GT033200107</t>
  </si>
  <si>
    <t>GT033200103</t>
  </si>
  <si>
    <t>GT033200166</t>
  </si>
  <si>
    <t>GT033200168</t>
  </si>
  <si>
    <t>GT033200169</t>
  </si>
  <si>
    <t>GT031910289</t>
  </si>
  <si>
    <t>GT031910290</t>
  </si>
  <si>
    <t>GT031910168</t>
  </si>
  <si>
    <t>GT030115105</t>
  </si>
  <si>
    <t>Mặt đốt, 1 cạnh dài đốt, các cạnh còn lại cưa, vạt mép cạnh dài 3mm</t>
  </si>
  <si>
    <t>GT023100056</t>
  </si>
  <si>
    <t>GT023100112</t>
  </si>
  <si>
    <t>GT023100113</t>
  </si>
  <si>
    <t>GT023100120</t>
  </si>
  <si>
    <t>GT023100162</t>
  </si>
  <si>
    <t>GT023100172</t>
  </si>
  <si>
    <t>GT021811171</t>
  </si>
  <si>
    <t>Mặt băm, cạnh tẩy đẹp, đáy cưa</t>
  </si>
  <si>
    <t>GT133009075</t>
  </si>
  <si>
    <t>Mặt tẩy đẹp, cạnh chẻ tay, mép trên bo tròn r=2.5cm tẩy đẹp, đáy cưa</t>
  </si>
  <si>
    <t>GV062037079</t>
  </si>
  <si>
    <t>Granite vàng</t>
  </si>
  <si>
    <t>4 mặt băm, 5 cạnh bo tròn, cạnh còn lại cưa</t>
  </si>
  <si>
    <t>GV103300053</t>
  </si>
  <si>
    <t>GV013300037</t>
  </si>
  <si>
    <t>GV013200031</t>
  </si>
  <si>
    <t>GV013200050</t>
  </si>
  <si>
    <t>GV013200003</t>
  </si>
  <si>
    <t>GV013200007</t>
  </si>
  <si>
    <t>GV033100268</t>
  </si>
  <si>
    <t>GV033100292</t>
  </si>
  <si>
    <t>GV033100302</t>
  </si>
  <si>
    <t>GV033200288</t>
  </si>
  <si>
    <t>GV033200085</t>
  </si>
  <si>
    <t>GV033200104</t>
  </si>
  <si>
    <t>GV033200107</t>
  </si>
  <si>
    <t>GV033200103</t>
  </si>
  <si>
    <t>GV033200166</t>
  </si>
  <si>
    <t>GV033200169</t>
  </si>
  <si>
    <t>GV032300200-18V</t>
  </si>
  <si>
    <t>GV032300200-20V</t>
  </si>
  <si>
    <t>GV032300249</t>
  </si>
  <si>
    <t>GV032300267-14V</t>
  </si>
  <si>
    <t>GV032300267-16V</t>
  </si>
  <si>
    <t>GV032300298</t>
  </si>
  <si>
    <t>GV032300304</t>
  </si>
  <si>
    <t>GV032300089</t>
  </si>
  <si>
    <t>GV032300148</t>
  </si>
  <si>
    <t>GV031910166</t>
  </si>
  <si>
    <t>GV023100056</t>
  </si>
  <si>
    <t>GV023100113</t>
  </si>
  <si>
    <t>GV023100114</t>
  </si>
  <si>
    <t>GV023100120</t>
  </si>
  <si>
    <t>GV023100172</t>
  </si>
  <si>
    <t>GV021811172</t>
  </si>
  <si>
    <t>GV021811175</t>
  </si>
  <si>
    <t>GV020202055</t>
  </si>
  <si>
    <t>GV131809319</t>
  </si>
  <si>
    <t>Mặt băm, cạnh chẻ tay, mép trên bo tròn, đáy cưa</t>
  </si>
  <si>
    <t>GX063200299</t>
  </si>
  <si>
    <t>Granite xám</t>
  </si>
  <si>
    <t>GX060706211</t>
  </si>
  <si>
    <t>6 mặt đốt, vạt mép cạnh dài 5mm, vạt mép cạnh ngắn 3mm</t>
  </si>
  <si>
    <t>GX060706216-10V</t>
  </si>
  <si>
    <t>GX060706216-8V</t>
  </si>
  <si>
    <t>GX060706241</t>
  </si>
  <si>
    <t>GX060706250</t>
  </si>
  <si>
    <t>GX060706269</t>
  </si>
  <si>
    <t>GX060706272-5V</t>
  </si>
  <si>
    <t>GX060706272-6V</t>
  </si>
  <si>
    <t>GX060706116</t>
  </si>
  <si>
    <t>GX060706159</t>
  </si>
  <si>
    <t>GX090116108</t>
  </si>
  <si>
    <t>Mặt đốt, 1 cạnh dài đốt, vạt mép 5mm</t>
  </si>
  <si>
    <t>GX013200031</t>
  </si>
  <si>
    <t>GX013200004</t>
  </si>
  <si>
    <t>Chẻ tay, tẩy đẹp 6 mặt</t>
  </si>
  <si>
    <t>GX013200007</t>
  </si>
  <si>
    <t>GX013200050</t>
  </si>
  <si>
    <t>GX010208008</t>
  </si>
  <si>
    <t>GX010208010</t>
  </si>
  <si>
    <t>GX033100113</t>
  </si>
  <si>
    <t>GX033100120</t>
  </si>
  <si>
    <t>GX030119193</t>
  </si>
  <si>
    <t>Mặt đốt, 1 cạnh dài bo tròn R=20mm đốt, các cạnh còn lại cưa</t>
  </si>
  <si>
    <t>GX030700200</t>
  </si>
  <si>
    <t>GX030700197</t>
  </si>
  <si>
    <t>GX030700199-20V</t>
  </si>
  <si>
    <t>6 mặt đốt, vạt mép 5mm</t>
  </si>
  <si>
    <t>GX030700199-24V</t>
  </si>
  <si>
    <t>GX030700238-14V</t>
  </si>
  <si>
    <t>GX030700238-18V</t>
  </si>
  <si>
    <t>GX030700248</t>
  </si>
  <si>
    <t>GX030700267</t>
  </si>
  <si>
    <t>GX030700266</t>
  </si>
  <si>
    <t>GX030700291</t>
  </si>
  <si>
    <t>GX030700298</t>
  </si>
  <si>
    <t>GX030700304</t>
  </si>
  <si>
    <t>GX030700071</t>
  </si>
  <si>
    <t>GX030700088</t>
  </si>
  <si>
    <t>GX030700109-28V</t>
  </si>
  <si>
    <t>GX030700109-36V</t>
  </si>
  <si>
    <t>GX030700147</t>
  </si>
  <si>
    <t>GX030700157</t>
  </si>
  <si>
    <t>GX021405222</t>
  </si>
  <si>
    <t>GX021520213</t>
  </si>
  <si>
    <t>Mặt đốt chải 2 lần, 1 cạnh dài bo tròn R=1.5cm đốt chải 2 lần</t>
  </si>
  <si>
    <t>GX021405220</t>
  </si>
  <si>
    <t>GX021405074</t>
  </si>
  <si>
    <t>Mặt đốt chải 1 lần, cạnh cưa, vạt mép 3mm</t>
  </si>
  <si>
    <t>GX021405094</t>
  </si>
  <si>
    <t>GX021405096</t>
  </si>
  <si>
    <t>GX021402117</t>
  </si>
  <si>
    <t>GX021402119</t>
  </si>
  <si>
    <t>GX021405119</t>
  </si>
  <si>
    <t>GX021405123</t>
  </si>
  <si>
    <t>GX021502140</t>
  </si>
  <si>
    <t>Mặt đốt chải 2 lần, cạnh cưa</t>
  </si>
  <si>
    <t>GX021405160</t>
  </si>
  <si>
    <t>GX021405174</t>
  </si>
  <si>
    <t>GX080131195</t>
  </si>
  <si>
    <t>Mặt đốt, 2 cạnh dài hon, 2 rãnh thoát nước dọc 2 cạnh dài 0.5x0.5cm cách mép 1.5cm, vạt mép 4 cạnh dài 3mm</t>
  </si>
  <si>
    <t>GX080131205</t>
  </si>
  <si>
    <t>GX080131214</t>
  </si>
  <si>
    <t>GX080131218</t>
  </si>
  <si>
    <t>GX080201101</t>
  </si>
  <si>
    <t>Mặt đốt, cạnh đốt, đáy cưa, 4 rãnh thoát nước dọc theo cạnh 0.5x0.5cm cách mép 1.5cm</t>
  </si>
  <si>
    <t>GX080208100</t>
  </si>
  <si>
    <t>Mặt đốt, cạnh chẻ tay, đáy cưa, 4 rãnh thoát nước dọc theo cạnh 0.5x0.5cm cách mép 1.5cm</t>
  </si>
  <si>
    <t>GX080131111</t>
  </si>
  <si>
    <t>GX080131115</t>
  </si>
  <si>
    <t>GX050122240</t>
  </si>
  <si>
    <t>Mặt đốt, 1 cạnh dài hon, vạt mép 3mm</t>
  </si>
  <si>
    <t>GX052702236</t>
  </si>
  <si>
    <t>Mặt hon, cạnh cưa</t>
  </si>
  <si>
    <t>GX052702237</t>
  </si>
  <si>
    <t>Mô tả chung</t>
  </si>
  <si>
    <t>Đá bậc thang Bazan đen, 5 mặt đốt xịt nước, vạt mép 3mm, KT 100x35x15, Đóng gói 10V</t>
  </si>
  <si>
    <t>Đá bậc thang Bazan đen, 5 mặt đốt xịt nước, vạt mép 3mm, KT 100x35x15, Đóng gói 5V</t>
  </si>
  <si>
    <t>Đá bậc thang Bazan đen, 5 mặt đốt xịt nước, vạt mép 3mm, KT 125x35x15, Đóng gói 8V</t>
  </si>
  <si>
    <t>Đá bậc thang Bazan đen, 5 mặt đốt xịt nước, vạt mép 3mm, KT 150x35x15, Đóng gói 6V</t>
  </si>
  <si>
    <t>Đá bậc thang Bazan đen, 5 mặt đốt xịt nước, vạt mép 3mm, KT 75x35x15, Đóng gói 10V</t>
  </si>
  <si>
    <t>Đá bậc thang Bazan đen, 6 mặt đốt xịt nước, vạt mép cạnh dài 5mm, vạt mép cạnh ngắn 3mm, KT 100x10x8, Đóng gói 42V</t>
  </si>
  <si>
    <t>Đá bậc thang Bazan đen, 6 mặt đốt xịt nước, vạt mép 3mm, KT 100x12x12, Đóng gói 32V</t>
  </si>
  <si>
    <t>Đá bậc thang Bazan đen, 6 mặt đốt xịt nước, vạt mép cạnh dài 5mm, vạt mép cạnh ngắn 3mm, KT 100x15x8, Đóng gói 12V</t>
  </si>
  <si>
    <t>Đá bậc thang Bazan đen, 6 mặt đốt xịt nước, vạt mép cạnh dài 5mm, vạt mép cạnh ngắn 3mm, KT 100x20x8, Đóng gói 20V</t>
  </si>
  <si>
    <t>Đá bậc thang Bazan đen, 6 mặt đốt xịt nước, vạt mép cạnh dài 5mm, vạt mép cạnh ngắn 3mm, KT 100x35x15, Đóng gói 10V</t>
  </si>
  <si>
    <t>Đá bậc thang Bazan đen, 6 mặt đốt xịt nước, vạt mép cạnh dài 5mm, vạt mép cạnh ngắn 3mm, KT 100x35x15, Đóng gói 5V</t>
  </si>
  <si>
    <t>Đá bậc thang Bazan đen, 6 mặt đốt xịt nước, vạt mép cạnh dài 5mm, vạt mép cạnh ngắn 3mm, KT 100x35x15, Đóng gói 8V</t>
  </si>
  <si>
    <t>Đá bậc thang Bazan đen, 6 mặt đốt xịt nước, vạt mép cạnh dài 5mm, vạt mép cạnh ngắn 3mm, KT 120x35x15, Đóng gói 8V</t>
  </si>
  <si>
    <t>Đá bậc thang Bazan đen, 6 mặt đốt xịt nước, vạt mép cạnh dài 5mm, vạt mép cạnh ngắn 3mm, KT 125x35x15, Đóng gói 5V</t>
  </si>
  <si>
    <t>Đá bậc thang Bazan đen, 6 mặt đốt xịt nước, vạt mép cạnh dài 5mm, vạt mép cạnh ngắn 3mm, KT 125x35x15, Đóng gói 6V</t>
  </si>
  <si>
    <t>Đá bậc thang Bazan đen, 6 mặt đốt xịt nước, vạt mép 3mm, KT 150x12x12, Đóng gói 24V</t>
  </si>
  <si>
    <t>Đá bậc thang Bazan đen, 6 mặt đốt xịt nước, vạt mép cạnh dài 5mm, vạt mép cạnh ngắn 3mm, KT 150x35x15, Đóng gói 5V</t>
  </si>
  <si>
    <t>Đá bậc thang Bazan đen, 6 mặt đốt xịt nước, vạt mép cạnh dài 5mm, vạt mép cạnh ngắn 3mm, KT 150x35x15, Đóng gói 6V</t>
  </si>
  <si>
    <t>Đá bậc thang Bazan đen, 6 mặt đốt xịt nước, vạt mép cạnh dài 5mm, vạt mép cạnh ngắn 3mm, KT 20x35x15, Đóng gói 40V</t>
  </si>
  <si>
    <t>Đá bậc thang Bazan đen, 6 mặt đốt xịt nước, vạt mép 3mm, KT 30x12x12, Đóng gói 120V</t>
  </si>
  <si>
    <t>Đá bậc thang Bazan đen, 6 mặt đốt xịt nước, vạt mép cạnh dài 5mm, vạt mép cạnh ngắn 3mm, KT 40x18x15, Đóng gói 40V</t>
  </si>
  <si>
    <t>Đá bậc thang Bazan đen, 6 mặt đốt xịt nước, vạt mép 3mm, KT 50x12x12, Đóng gói 64V</t>
  </si>
  <si>
    <t>Đá bậc thang Bazan đen, 6 mặt đốt xịt nước, vạt mép cạnh dài 5mm, vạt mép cạnh ngắn 3mm, KT 50x35x15, Đóng gói 10V</t>
  </si>
  <si>
    <t>Đá bậc thang Bazan đen, 6 mặt đốt xịt nước, vạt mép 3mm, KT 75x12x12, Đóng gói 45V</t>
  </si>
  <si>
    <t>Đá bậc thang Bazan đen, 6 mặt đốt xịt nước, vạt mép cạnh dài 5mm, vạt mép cạnh ngắn 3mm, KT 75x35x15, Đóng gói 10V</t>
  </si>
  <si>
    <t>Đá bậc thang Bazan đen, 6 mặt đốt xịt nước, vạt mép cạnh dài 5mm, vạt mép cạnh ngắn 3mm, KT 80x35x15, Đóng gói 10V</t>
  </si>
  <si>
    <t>Đá bo vỉa hè Bazan đen, Chẻ tay tự nhiên, KT 30x15x10, Đóng gói 126V</t>
  </si>
  <si>
    <t>Đá cubic Bazan đen, Mặt đốt xịt nước, cạnh cưa, vạt mép 3mm, KT 20x10x5, Đóng gói 400V</t>
  </si>
  <si>
    <t>Đá cubic Bazan đen, Mặt đốt xịt nước, cạnh chẻ tay, đáy cưa, KT 10x10x6, Đóng gói 900V</t>
  </si>
  <si>
    <t>Đá cubic Bazan đen, Mặt đốt xịt nước, cạnh chẻ tay, đáy cưa, KT 10x10x8, Đóng gói 700V</t>
  </si>
  <si>
    <t>Đá cubic Bazan đen, Mặt đốt xịt nước, cạnh chẻ tay, đáy cưa, KT 15x15x15, Đóng gói 144V</t>
  </si>
  <si>
    <t>Đá cubic Bazan đen, Mặt đốt xịt nước, cạnh chẻ tay, đáy cưa, KT 16x16x14, Đóng gói 144V</t>
  </si>
  <si>
    <t>Đá cubic Bazan đen, Mặt đốt xịt nước, cạnh chẻ tay, đáy cưa, KT 5x5x5, Đóng gói 4000V</t>
  </si>
  <si>
    <t>Đá cubic Bazan đen, Mặt đốt xịt nước, cạnh chẻ tay, đáy cưa, KT 9x9x8, Đóng gói 726V</t>
  </si>
  <si>
    <t>Đá cubic Bazan đen, Chẻ tay tự nhiên, KT 10x10x8, Đóng gói 700V</t>
  </si>
  <si>
    <t>Đá cubic Bazan đen, Chẻ tay tự nhiên, KT 14x14x8, Đóng gói 7700V</t>
  </si>
  <si>
    <t>Đá cubic Bazan đen, Chẻ tay tự nhiên, KT 14x14x9, Đóng gói 343V</t>
  </si>
  <si>
    <t>Đá cubic Bazan đen, Chẻ tay tự nhiên, KT 20x10x8.5, Đóng gói 350V</t>
  </si>
  <si>
    <t>Đá cubic Bazan đen, Chẻ tay tự nhiên, KT 20x10x9, Đóng gói 300V</t>
  </si>
  <si>
    <t>Đá cubic Bazan đen, Chẻ tay tự nhiên, KT 40x18x15, Đóng gói 40V</t>
  </si>
  <si>
    <t>Đá cubic Bazan đen, Chẻ tay tự nhiên, KT 9x9x7, Đóng gói 968V</t>
  </si>
  <si>
    <t>Đá cây Bazan đen, 6 mặt đốt xịt nước, vạt mép 3mm, KT 100x20x10, Đóng gói 20V</t>
  </si>
  <si>
    <t>Đá cây Bazan đen, 6 mặt đốt xịt nước, vạt mép 3mm, KT 100x20x6, Đóng gói 30V</t>
  </si>
  <si>
    <t>Đá cây Bazan đen, 6 mặt đốt xịt nước, vạt mép 3mm, KT 100x25x10, Đóng gói 18V</t>
  </si>
  <si>
    <t>Đá cây Bazan đen, 6 mặt đốt xịt nước, vạt mép 3mm, KT 100x25x6, Đóng gói 30V</t>
  </si>
  <si>
    <t>Đá cây Bazan đen, 6 mặt đốt xịt nước, vạt mép 3mm, KT 100x25x7, Đóng gói 26V</t>
  </si>
  <si>
    <t>Đá cây Bazan đen, 6 mặt đốt xịt nước, vạt mép 3mm, KT 100x25x8, Đóng gói 20V</t>
  </si>
  <si>
    <t>Đá cây Bazan đen, 6 mặt đốt xịt nước, vạt mép 3mm, KT 100x25x8, Đóng gói 24V</t>
  </si>
  <si>
    <t>Đá cây Bazan đen, 6 mặt đốt xịt nước, vạt mép 3mm, KT 100x30x7, Đóng gói 20V</t>
  </si>
  <si>
    <t>Đá cây Bazan đen, 6 mặt đốt xịt nước, vạt mép 3mm, KT 100x30x8, Đóng gói 20V</t>
  </si>
  <si>
    <t>Đá cây Bazan đen, 6 mặt đốt xịt nước, vạt mép 3mm, KT 100x40x10, Đóng gói 2V</t>
  </si>
  <si>
    <t>Đá cây Bazan đen, 6 mặt đốt xịt nước, vạt mép 3mm, KT 100x50x8, Đóng gói 9V</t>
  </si>
  <si>
    <t>Đá cây Bazan đen, 6 mặt đốt xịt nước, vạt mép 3mm, KT 125x25x8, Đóng gói 18V</t>
  </si>
  <si>
    <t>Đá cây Bazan đen, 6 mặt đốt xịt nước, vạt mép 3mm, KT 150x25x10, Đóng gói 12V</t>
  </si>
  <si>
    <t>Đá cây Bazan đen, 6 mặt đốt xịt nước, vạt mép 3mm, KT 150x25x8, Đóng gói 14V</t>
  </si>
  <si>
    <t>Đá cây Bazan đen, 6 mặt đốt xịt nước, vạt mép 3mm, KT 150x25x8, Đóng gói 16V</t>
  </si>
  <si>
    <t>Đá cây Bazan đen, 6 mặt đốt xịt nước, vạt mép 3mm, KT 150x50x8, Đóng gói 8V</t>
  </si>
  <si>
    <t>Đá cây Bazan đen, 6 mặt đốt xịt nước, vạt mép 3mm, KT 200x25x8, Đóng gói 10V</t>
  </si>
  <si>
    <t>Đá cây Bazan đen, 6 mặt đốt xịt nước, vạt mép 3mm, KT 200x25x8, Đóng gói 12V</t>
  </si>
  <si>
    <t>Đá cây Bazan đen, 6 mặt đốt xịt nước, vạt mép 3mm, KT 220x50x8, Đóng gói 6V</t>
  </si>
  <si>
    <t>Đá cây Bazan đen, 6 mặt đốt xịt nước, vạt mép 3mm, KT 25x25x8, Đóng gói 96V</t>
  </si>
  <si>
    <t>Đá cây Bazan đen, 6 mặt đốt xịt nước, vạt mép 3mm, KT 35x25x10, Đóng gói 40V</t>
  </si>
  <si>
    <t>Đá cây Bazan đen, 6 mặt đốt xịt nước, vạt mép 3mm, KT 50x20x10, Đóng gói 40V</t>
  </si>
  <si>
    <t>Đá cây Bazan đen, 6 mặt đốt xịt nước, vạt mép 3mm, KT 50x25x10, Đóng gói 36V</t>
  </si>
  <si>
    <t>Đá cây Bazan đen, 6 mặt đốt xịt nước, vạt mép 3mm, KT 50x25x7, Đóng gói 52V</t>
  </si>
  <si>
    <t>Đá cây Bazan đen, 6 mặt đốt xịt nước, vạt mép 3mm, KT 50x25x8, Đóng gói 48V</t>
  </si>
  <si>
    <t>Đá cây Bazan đen, 6 mặt đốt xịt nước, vạt mép 3mm, KT 60x20x6, Đóng gói 48V</t>
  </si>
  <si>
    <t>Đá cây Bazan đen, 6 mặt đốt xịt nước, vạt mép 3mm, KT 75x25x7, Đóng gói 32V</t>
  </si>
  <si>
    <t>Đá cây Bazan đen, 6 mặt đốt xịt nước, vạt mép 3mm, KT 75x25x8, Đóng gói 28V</t>
  </si>
  <si>
    <t>Đá cây Bazan đen, Chẻ tay tự nhiên, KT 100x16x16, Đóng gói 17V</t>
  </si>
  <si>
    <t>Đá cây Bazan đen, Chẻ tay tự nhiên, KT 100x25x8, Đóng gói 28V</t>
  </si>
  <si>
    <t>Đá cây Bazan đen, Chẻ tay tự nhiên, KT 120x12x12, Đóng gói 28V</t>
  </si>
  <si>
    <t>Đá cây Bazan đen, Chẻ tay tự nhiên, KT 40x12x12, Đóng gói 90V</t>
  </si>
  <si>
    <t>Đá cây Bazan đen, Chẻ tay tự nhiên, KT 60x12x12, Đóng gói 56V</t>
  </si>
  <si>
    <t>Đá cây Bazan đen, Chẻ tay tự nhiên, KT 90x12x12, Đóng gói 32V</t>
  </si>
  <si>
    <t>Đá lát Bazan đen, 6 mặt đốt xịt nước, vạt mép 3mm, KT 100x20x6, Đóng gói 16V</t>
  </si>
  <si>
    <t>Đá lát Bazan đen, 6 mặt đốt xịt nước, vạt mép 3mm, KT 100x25x6, Đóng gói 16V</t>
  </si>
  <si>
    <t>Đá lát Bazan đen, 6 mặt đốt xịt nước, vạt mép 3mm, KT 100x25x8, Đóng gói 16V</t>
  </si>
  <si>
    <t>Đá lát Bazan đen, 6 mặt đốt xịt nước, vạt mép 3mm, KT 125x25x8, Đóng gói 16V</t>
  </si>
  <si>
    <t>Đá lát Bazan đen, 6 mặt đốt xịt nước, vạt mép 3mm, KT 150x25x8, Đóng gói 16V</t>
  </si>
  <si>
    <t>Đá lát Bazan đen, 6 mặt đốt xịt nước, vạt mép 3mm, KT 80x40x4, Đóng gói 20V</t>
  </si>
  <si>
    <t>Đá lát Bazan đen, Mặt đốt xịt nước, cạnh cưa, vạt mép 3mm, KT 14-18-22x12x6, Đóng gói 192V</t>
  </si>
  <si>
    <t>Đá lát Bazan đen, Mặt đốt xịt nước, cạnh cưa , KT 15x15x1.2, Đóng gói 250V</t>
  </si>
  <si>
    <t>Đá lát Bazan đen, Mặt đốt xịt nước, cạnh cưa, vạt mép 3mm, KT 20x10x3, Đóng gói 660V</t>
  </si>
  <si>
    <t>Đá lát Bazan đen, Mặt đốt xịt nước, cạnh cưa, vạt mép 3mm, KT 35x15x6, Đóng gói 128V</t>
  </si>
  <si>
    <t>Đá lát Bazan đen, Mặt đốt xịt nước, cạnh cưa, vạt mép 3mm, KT 60x30x3, Đóng gói 68V</t>
  </si>
  <si>
    <t>Đá lát Bazan đen, Mặt đốt xịt nước, cạnh cưa, vạt mép 3mm, KT 60x40x3, Đóng gói 34V</t>
  </si>
  <si>
    <t>Đá lát Bazan đen, Mặt đốt xịt nước, cạnh cưa, vạt mép 1mm, KT 60x60x3, Đóng gói 34V</t>
  </si>
  <si>
    <t>Đá lát Bazan đen, Mặt đốt xịt nước, cạnh cưa, vạt mép 3mm, KT 80x30x3, Đóng gói 34V</t>
  </si>
  <si>
    <t>Đá lát Bazan đen, Mặt đốt xịt nước, cạnh cưa, vạt mép 3mm, KT 80x40x3, Đóng gói 34V</t>
  </si>
  <si>
    <t>Đá lát Bazan đen, Mặt đốt xịt nước, cạnh cưa, vạt mép 3mm, KT 90x45x3, Đóng gói 30V</t>
  </si>
  <si>
    <t>Đá lát Bazan đen, Mặt đốt xịt nước, cạnh cưa, vạt mép 3mm, KT 90x60x3, Đóng gói 20V</t>
  </si>
  <si>
    <t>Đá lát Bazan đen, Mặt đốt xịt nước, cạnh cưa, vạt mép 1mm, KT 90x60x3, Đóng gói 25V</t>
  </si>
  <si>
    <t>Đá tấm Bazan đen, Đốt xịt nước, KT 150-220x60x3, Đóng gói 20V</t>
  </si>
  <si>
    <t>Đá tấm Bazan đen, Đốt xịt nước, KT 150-220x60x4, Đóng gói 12V</t>
  </si>
  <si>
    <t>Đá tấm Bazan đen, Đốt xịt nước, KT 150-220x80x3, Đóng gói 10V</t>
  </si>
  <si>
    <t>Đá tấm Bazan đen, Đốt xịt nước, KT 150-220x80x4, Đóng gói 8V</t>
  </si>
  <si>
    <t>Đá tấm Bazan đen, Đốt xịt nước, KT 180-220x60x4, Đóng gói 12V</t>
  </si>
  <si>
    <t>Đá tấm Bazan đen, Mặt đốt xịt nước, 2 cạnh dài hon, 2 mép dài trên bo tròn R=0.5cm và hon cùng màu cạnh, 2 mép dài dưới vạt 3mm, KT 100x30x6, Đóng gói 20V</t>
  </si>
  <si>
    <t>Đá nắp tường rào Bazan đen, 5 mặt đốt xịt nước, 2 rãnh thoát nước dọc 2 cạnh dài 0.5x0.5cm cách mép 1.5cm, vạt mép 3mm, đáy cưa, KT 75x30x4, Đóng gói 30V</t>
  </si>
  <si>
    <t>Đá nắp tường rào Bazan đen, 5 mặt đốt xịt nước, 2 rãnh thoát nước dọc 2 cạnh dài 0.5x0.5cm cách mép 1.5cm, vạt mép 3mm, đáy cưa, KT 75x35x4, Đóng gói 30V</t>
  </si>
  <si>
    <t>Đá nắp tường rào Bazan đen, 5 mặt đốt xịt nước, 2 rãnh thoát nước dọc 2 cạnh dài 0.5x0.5cm cách mép 1.5cm, vạt mép 3mm, đáy cưa, KT 75x40x4, Đóng gói 30V</t>
  </si>
  <si>
    <t>Đá nắp tường rào Bazan đen, Mặt đốt xịt nước, 2 cạnh dài chẻ tay tự nhiên, 2 rãnh thoát nước dọc 2 cạnh dài 0.8x0.8cm cách mép 2cm, KT 100x26x5, Đóng gói 20V</t>
  </si>
  <si>
    <t>Đá nắp tường rào Bazan đen, Mặt đốt xịt nước, 2 cạnh dài chẻ tay tự nhiên, 2 rãnh thoát nước dọc 2 cạnh dài 0.5x0.5cm cách mép 1.5cm, KT 100x30x4, Đóng gói 25V</t>
  </si>
  <si>
    <t>Đá nắp tường rào Bazan đen, Mặt đốt xịt nước, 2 cạnh dài hon, 2 rãnh thoát nước dọc 2 cạnh dài 0.5x0.5cm cách mép 1.5cm, vạt 4 mép cạnh dài 3mm, KT 100x25x4, Đóng gói 25V</t>
  </si>
  <si>
    <t>Đá nắp tường rào Bazan đen, Mặt đốt xịt nước, 2 cạnh dài hon, 2 rãnh thoát nước dọc 2 cạnh dài 0.5x0.5cm cách mép 1.5cm, rãnh cắt hết, vạt mép cạnh dài 3mm, KT 100x30x3, Đóng gói 35V</t>
  </si>
  <si>
    <t>Đá nắp tường rào Bazan đen, Mặt đốt xịt nước, 2 cạnh dài hon, 2 rãnh thoát nước dọc 2 cạnh dài 0.5x0.5cm cách mép 1.5cm, vạt 4 mép cạnh dài 3mm, KT 100x30x4, Đóng gói 25V</t>
  </si>
  <si>
    <t>Đá nắp tường rào Bazan đen, Mặt đốt xịt nước, 2 cạnh dài hon, 2 rãnh thoát nước dọc 2 cạnh dài 0.5x0.5cm cách mép 1.5cm, rãnh cắt hết, vạt mép cạnh dài 3mm, KT 100x35x3, Đóng gói 30V</t>
  </si>
  <si>
    <t>Đá nắp tường rào Bazan đen, Mặt đốt xịt nước, 2 cạnh dài hon, 2 rãnh thoát nước dọc 2 cạnh dài 0.5x0.5cm cách mép 1.5cm, vạt 4 mép cạnh dài 3mm, KT 100x35x4, Đóng gói 25V</t>
  </si>
  <si>
    <t>Đá nắp tường rào Bazan đen, Mặt đốt xịt nước, 2 cạnh dài hon, 2 rãnh thoát nước dọc 2 cạnh dài 0.5x0.5cm cách mép 1.5cm, vạt 4 mép cạnh dài 3mm, KT 100x40x4, Đóng gói 25V</t>
  </si>
  <si>
    <t>Đá nắp tường rào Bazan đen, Mặt đốt xịt nước, 4 cạnh hon, 4 rãnh thoát nước dọc theo cạnh cách mép 2cm, vạt mép 3mm, KT 50x50x4, Đóng gói 1V</t>
  </si>
  <si>
    <t>Đá nắp tường rào Bazan đen, Mặt đốt xịt nước, 1 cạnh dài đốt xịt nước bo tròn R=1.5cm, cạnh còn lại vạt mép 3mm, KT 50x35x4, Đóng gói 50V</t>
  </si>
  <si>
    <t>Đá nắp tường rào Bazan đen, Mặt đốt xịt nước, 2 cạnh dài đốt xịt nước, 2 rãnh thoát nước dọc 2 cạnh dài 0.5x0.5cm cách mép 1.5cm, vạt 4 mép cạnh dài 3mm, KT 60x30x3, Đóng gói 68V</t>
  </si>
  <si>
    <t>Đá nắp tường rào Bazan đen, Mặt đốt xịt nước, 2 cạnh dài đốt xịt nước, 2 rãnh thoát nước dọc 2 cạnh dài 0.5x0.5cm cách mép 1.5cm, vạt 4 mép cạnh dài 3mm, KT 60x35x3, Đóng gói 34V</t>
  </si>
  <si>
    <t>Đá ốp bậc thang Bazan đen, 5 mặt đốt xịt nước, vạt mép 3mm, KT 90x45x3, Đóng gói 26V</t>
  </si>
  <si>
    <t>Đá ốp bậc thang Bazan đen, Mặt đốt xịt nước, 1 cạnh dài hon, mép trên và dưới của cạnh hon vạt 3mm, KT 120x35x3, Đóng gói 25V</t>
  </si>
  <si>
    <t>Đá ốp bậc thang Bazan đen, Mặt đốt xịt nước, 1 cạnh dài hon, mép trên và dưới của cạnh hon vạt 3mm, KT 150x35x3, Đóng gói 22V</t>
  </si>
  <si>
    <t>Đá ốp bậc thang Bazan đen, Mặt đốt xịt nước, 1 cạnh dài hon, mép trên và dưới của cạnh hon vạt 3mm, KT 200x35x3, Đóng gói 20V</t>
  </si>
  <si>
    <t>Đá ốp bậc thang Bazan đen, Mặt hon, cạnh cưa, vạt mép 1mm, KT 120x14.5x3, Đóng gói 50V</t>
  </si>
  <si>
    <t>Đá ốp bậc thang Bazan đen, Mặt hon, cạnh cưa, vạt mép 1mm, KT 150x14.5x3, Đóng gói 44V</t>
  </si>
  <si>
    <t>Đá ốp bậc thang Bazan đen, Mặt hon, cạnh cưa, vạt mép 1mm, KT 200x14.5x3, Đóng gói 50V</t>
  </si>
  <si>
    <t>Đá tường rào Bazan đen, Mặt đốt xịt nước, 1 cạnh dài đốt xịt nước, vạt mép 3mm, đáy đốt xịt nước, KT 100x20x5, Đóng gói 36V</t>
  </si>
  <si>
    <t>Đá tường rào Bazan đen, Mặt cưa, 2 cạnh ngắn cưa, 2 cạnh dài chẻ tay tự nhiên, đáy cưa, KT 20x35x15, Đóng gói 40V</t>
  </si>
  <si>
    <t>Đá bậc thang Bluestone, Giả cổ tay, KT 100x30x16, Đóng gói 9V</t>
  </si>
  <si>
    <t>Đá bậc thang Bluestone, Giả cổ tay, KT 125x30x16, Đóng gói 6V</t>
  </si>
  <si>
    <t>Đá bậc thang Bluestone, Mài giấy, KT 100x30x16, Đóng gói 9V</t>
  </si>
  <si>
    <t>Đá bậc thang Bluestone, Mài giấy, KT 125x30x16, Đóng gói 4V</t>
  </si>
  <si>
    <t>Đá bậc thang Bluestone, Mài giấy, vạt mép cạnh dài 5mm, vạt mép cạnh ngắn 3mm, KT 100x35x15, Đóng gói 8V</t>
  </si>
  <si>
    <t>Đá bậc thang Bluestone, Mài giấy, vạt mép cạnh dài 5mm, vạt mép cạnh ngắn 3mm, KT 150x35x15, Đóng gói 6V</t>
  </si>
  <si>
    <t>Đá bậc thang Bluestone, Mài giấy, vạt mép cạnh dài 5mm, vạt mép cạnh ngắn 3mm, KT 50x35x15, Đóng gói 10V</t>
  </si>
  <si>
    <t>Đá cubic Bluestone, Giả cổ rung, KT 10x10x5, Đóng gói 720V</t>
  </si>
  <si>
    <t>Đá cubic Bluestone, Giả cổ rung, KT 20x10x5, Đóng gói 360V</t>
  </si>
  <si>
    <t>Đá bộ Bluestone, Giả cổ rung bộ, KT 19.5-60x19.5-40x2, Đóng gói 132V</t>
  </si>
  <si>
    <t>Đá bộ Bluestone, Giả cổ rung bộ, KT 20-30-40x20x6, Đóng gói 80V</t>
  </si>
  <si>
    <t>Đá bộ Bluestone, Giả cổ tay bộ, KT 19.5-60x19.5-40x2.5, Đóng gói 108V</t>
  </si>
  <si>
    <t>Đá bộ Bluestone, Giả cổ tay bộ, KT 29.7-60x29.7-60x3, Đóng gói 50V</t>
  </si>
  <si>
    <t>Đá cây Bluestone, Giả cổ rung mặt và cạnh, KT 60x30x5, Đóng gói 40V</t>
  </si>
  <si>
    <t>Đá cây Bluestone, Giả cổ tay, KT 100x15x5, Đóng gói 48V</t>
  </si>
  <si>
    <t>Đá cây Bluestone, Giả cổ tay, KT 100x20x5, Đóng gói 36V</t>
  </si>
  <si>
    <t>Đá cây Bluestone, Giả cổ tay, KT 100x25x10, Đóng gói 16V</t>
  </si>
  <si>
    <t>Đá cây Bluestone, Giả cổ tay, KT 100x30x5, Đóng gói 24V</t>
  </si>
  <si>
    <t>Đá cây Bluestone, Giả cổ tay, KT 100x35x5, Đóng gói 20V</t>
  </si>
  <si>
    <t>Đá cây Bluestone, Giả cổ tay, KT 125x25x10, Đóng gói 14V</t>
  </si>
  <si>
    <t>Đá cây Bluestone, Giả cổ tay, KT 50x25x10, Đóng gói 32V</t>
  </si>
  <si>
    <t>Đá cây Bluestone, Giả cổ tay, KT 75x25x10, Đóng gói 20V</t>
  </si>
  <si>
    <t>Đá cây Bluestone, Mài giấy, KT 100x15x5, Đóng gói 48V</t>
  </si>
  <si>
    <t>Đá cây Bluestone, Mài giấy, KT 100x20x5, Đóng gói 36V</t>
  </si>
  <si>
    <t>Đá cây Bluestone, Mài giấy, KT 100x25x5, Đóng gói 24V</t>
  </si>
  <si>
    <t>Đá cây Bluestone, Mài giấy, KT 100x25x8, Đóng gói 20V</t>
  </si>
  <si>
    <t>Đá cây Bluestone, Mài giấy, KT 100x30x5, Đóng gói 24V</t>
  </si>
  <si>
    <t>Đá cây Bluestone, Mài giấy, KT 125x25x8, Đóng gói 16V</t>
  </si>
  <si>
    <t>Đá cây Bluestone, Mài giấy, KT 50x25x8, Đóng gói 40V</t>
  </si>
  <si>
    <t>Đá cây Bluestone, Mài giấy, KT 75x25x8, Đóng gói 24V</t>
  </si>
  <si>
    <t>Đá cây Bluestone, Mài giấy 6 mặt, vạt mép 3mm, KT 100x20x6, Đóng gói 30V</t>
  </si>
  <si>
    <t>Đá cây Bluestone, Mài giấy 6 mặt, vạt mép 3mm, KT 100x25x8, Đóng gói 20V</t>
  </si>
  <si>
    <t>Đá cây Bluestone, Mài giấy 6 mặt, vạt mép 3mm, KT 125x25x8, Đóng gói 16V</t>
  </si>
  <si>
    <t>Đá cây Bluestone, Mài giấy 6 mặt, vạt mép 3mm, KT 150x25x8, Đóng gói 14V</t>
  </si>
  <si>
    <t>Đá lát Bluestone, Mặt và 1 cạnh dài giả cổ rung, các cạnh còn lại cưa máy, vạt mép 1 cạnh dài 3mm, KT 100.1x28.5x4, Đóng gói 30V</t>
  </si>
  <si>
    <t>Đá lát Bluestone, Mặt và 1 cạnh dài giả cổ rung, các cạnh còn lại cưa máy, vạt mép 1 cạnh dài 3mm, KT 100.6x28.5x4, Đóng gói 30V</t>
  </si>
  <si>
    <t>Đá lát Bluestone, Giả cổ rung, KT 15x15x1.2, Đóng gói 50V</t>
  </si>
  <si>
    <t>Đá lát Bluestone, Giả cổ rung, KT 20x20x2, Đóng gói 450V</t>
  </si>
  <si>
    <t>Đá lát Bluestone, Giả cổ rung, KT 20x20x2.5, Đóng gói 360V</t>
  </si>
  <si>
    <t>Đá lát Bluestone, Giả cổ rung, KT 20x20x5, Đóng gói 180V</t>
  </si>
  <si>
    <t>Đá lát Bluestone, Giả cổ rung, KT 20x5x2.5, Đóng gói 1440V</t>
  </si>
  <si>
    <t>Đá lát Bluestone, Giả cổ rung, KT 20x5x5, Đóng gói 720V</t>
  </si>
  <si>
    <t>Đá lát Bluestone, Giả cổ rung, KT 25x8x5, Đóng gói 360V</t>
  </si>
  <si>
    <t>Đá lát Bluestone, Giả cổ rung, KT 30x30x2.5, Đóng gói 160V</t>
  </si>
  <si>
    <t>Đá lát Bluestone, Giả cổ rung, KT 40x40x2.5, Đóng gói 80V</t>
  </si>
  <si>
    <t>Đá lát Bluestone, Mặt và 1 cạnh dài giả cổ rung, các cạnh còn lại cưa máy, vạt mép 1 cạnh dài 3mm, KT 50.3x28.5x4, Đóng gói 30V</t>
  </si>
  <si>
    <t>Đá lát Bluestone, Giả cổ rung, KT 50x50x2.5, Đóng gói 40V</t>
  </si>
  <si>
    <t>Đá lát Bluestone, Giả cổ rung, KT 60x30x2, Đóng gói 100V</t>
  </si>
  <si>
    <t>Đá lát Bluestone, Giả cổ rung, KT 60x30x3, Đóng gói 33V</t>
  </si>
  <si>
    <t>Đá lát Bluestone, Giả cổ rung, KT 60x40x2, Đóng gói 50V</t>
  </si>
  <si>
    <t>Đá lát Bluestone, Giả cổ rung, KT 60x40x2.5, Đóng gói 40V</t>
  </si>
  <si>
    <t>Đá lát Bluestone, Giả cổ rung, KT 60x40x3, Đóng gói 33V</t>
  </si>
  <si>
    <t>Đá lát Bluestone, Giả cổ rung, KT 60x60x2, Đóng gói 50V</t>
  </si>
  <si>
    <t>Đá lát Bluestone, Giả cổ rung, KT 60x60x2.5, Đóng gói 40V</t>
  </si>
  <si>
    <t>Đá lát Bluestone, Mặt và 1 cạnh dài giả cổ rung, các cạnh còn lại cưa máy, vạt mép 1 cạnh dài 3mm, KT 62.5x7.5x2, Đóng gói 30V</t>
  </si>
  <si>
    <t>Đá lát Bluestone, Mặt và 1 cạnh dài giả cổ rung, các cạnh còn lại cưa máy, vạt mép 1 cạnh dài 3mm, KT 72.8x28.5x4, Đóng gói 30V</t>
  </si>
  <si>
    <t>Đá lát Bluestone, Mặt và 1 cạnh dài giả cổ rung, các cạnh còn lại cưa máy, vạt mép 1 cạnh dài 3mm, KT 75.4x28.5x4, Đóng gói 30V</t>
  </si>
  <si>
    <t>Đá lát Bluestone, Giả cổ rung, KT 80x40x3, Đóng gói 34V</t>
  </si>
  <si>
    <t>Đá lát Bluestone, Mặt và 1 cạnh dài giả cổ rung, các cạnh còn lại cưa máy, vạt mép 1 cạnh dài 3mm, KT 88.5x28.5x4, Đóng gói 30V</t>
  </si>
  <si>
    <t>Đá lát Bluestone, Giả cổ rung, KT 90x60x2.5, Đóng gói 25V</t>
  </si>
  <si>
    <t>Đá lát Bluestone, Giả cổ rung, KT 90x60x3, Đóng gói 20V</t>
  </si>
  <si>
    <t>Đá lát Bluestone, Mặt và 1 cạnh dài giả cổ rung, các cạnh còn lại cưa máy, vạt mép 1 cạnh dài 3mm, KT 95.3x28.5x4, Đóng gói 30V</t>
  </si>
  <si>
    <t>Đá lát Bluestone, Đốt chải, KT 60x30x3, Đóng gói 66V</t>
  </si>
  <si>
    <t>Đá lát Bluestone, Đốt chải, KT 60x40x3, Đóng gói 33V</t>
  </si>
  <si>
    <t>Đá lát Bluestone, Mài giấy, KT 20x20x2, Đóng gói 450V</t>
  </si>
  <si>
    <t>Đá lát Bluestone, Mài giấy, KT 40x20x2, Đóng gói 200V</t>
  </si>
  <si>
    <t>Đá lát Bluestone, Mài giấy, KT 40x40x2, Đóng gói 100V</t>
  </si>
  <si>
    <t>Đá lát Bluestone, Mài giấy, KT 40x40x2.5, Đóng gói 80V</t>
  </si>
  <si>
    <t>Đá lát Bluestone, Mài giấy, KT 50x50x2.5, Đóng gói 40V</t>
  </si>
  <si>
    <t>Đá lát Bluestone, Mài giấy, KT 60x40x2, Đóng gói 50V</t>
  </si>
  <si>
    <t>Đá lát Bluestone, Mài giấy, KT 60x40x2.5, Đóng gói 40V</t>
  </si>
  <si>
    <t>Đá lát Bluestone, Mài giấy, KT 60x60x2.5, Đóng gói 40V</t>
  </si>
  <si>
    <t>Đá lát Bluestone, Mẻ cát, giả cổ rung, KT 40x40x2, Đóng gói 100V</t>
  </si>
  <si>
    <t>Đá lát Bluestone, Mẻ cát, KT 30x30x2.5, Đóng gói 160V</t>
  </si>
  <si>
    <t>Đá lát Bluestone, Mẻ cát, KT 40x40x2.5, Đóng gói 80V</t>
  </si>
  <si>
    <t>Đá lát Bluestone, Mẻ cát CLC, KT 40x40x2, Đóng gói 100V</t>
  </si>
  <si>
    <t>Đá lát Bluestone, Quay mẻ, KT 15x15x2, Đóng gói 800V</t>
  </si>
  <si>
    <t>Đá lát Bluestone, Quay mẻ, KT 15x15x2.5, Đóng gói 640V</t>
  </si>
  <si>
    <t>Đá lát Bluestone, Quay mẻ, KT 15x15x5, Đóng gói 320V</t>
  </si>
  <si>
    <t>Đá lát Bluestone, Quay mẻ, KT 20x20x5, Đóng gói 180V</t>
  </si>
  <si>
    <t>Đá lát Bluestone, Quay mẻ, KT 20x5x5, Đóng gói 720V</t>
  </si>
  <si>
    <t>Đá lát Bluestone, Quay mẻ, KT 24x8x5, Đóng gói 360V</t>
  </si>
  <si>
    <t>Đá lát Bluestone, Quay mẻ CLC, KT 15x15x2, Đóng gói 800V</t>
  </si>
  <si>
    <t>Đá lát Bluestone, Quay mẻ CLC, KT 15x15x4, Đóng gói 400V</t>
  </si>
  <si>
    <t>Đá lát Bluestone, Quay mẻ CLC, KT 15x15x5, Đóng gói 320V</t>
  </si>
  <si>
    <t>Đá lát Bluestone, Quay mẻ CLC, KT 20x20x2.5, Đóng gói 360V</t>
  </si>
  <si>
    <t>Đá lát Bluestone, Tách lồi, KT 20x5x5, Đóng gói 684V</t>
  </si>
  <si>
    <t>Đá hồ bơi Bluestone, Mài giấy, KT 106.6x43x5/3, Đóng gói 25V</t>
  </si>
  <si>
    <t>Đá hồ bơi Bluestone, Mài giấy, KT 109.28x28x5/3, Đóng gói 25V</t>
  </si>
  <si>
    <t>Đá nắp tường rào Bluestone, Mài giấy 5 cạnh, 2 rãnh thoát nước dọc 2 cạnh dài 0.8x0.8 cm cách mép 1,5 cm, vạt mép cạnh dài 3mm, vạt mép cạnh ngắn 1mm, đáy cưa, KT 100x20x3, Đóng gói 60V</t>
  </si>
  <si>
    <t>Đá nắp tường rào Bluestone, Mài giấy 5 cạnh, 2 rãnh thoát nước dọc 2 cạnh dài 0.8x0.8 cm cách mép 1,5 cm, vạt mép cạnh dài 3mm, vạt mép cạnh ngắn 1mm, đáy cưa, KT 100x30x3, Đóng gói 40V</t>
  </si>
  <si>
    <t>Đá nắp tường rào Bluestone, Mặt và 1 cạnh dài mài giấy, vạt mép 3mm, KT 100x30x3, Đóng gói 6V</t>
  </si>
  <si>
    <t>Đá nắp tường rào Bluestone, Mài giấy 5 cạnh, 2 rãnh thoát nước dọc 2 cạnh dài 0.8x0.8 cm cách mép 1,5 cm, vạt mép cạnh dài 3mm, vạt mép cạnh ngắn 1mm, đáy cưa, KT 100x35x3, Đóng gói 30V</t>
  </si>
  <si>
    <t>Đá nắp tường rào Bluestone, Mặt và 2 cạnh dài mài giấy, 2 rãnh thoát nước dọc 2 cạnh dài 0.5x0.5cm cách mép 2cm, vạt mép trên và mép dưới 2 cạnh dài 3mm, KT 100x35x4, Đóng gói 20V</t>
  </si>
  <si>
    <t>Đá nắp tường rào Bluestone, Mài giấy 5 cạnh, 2 rãnh thoát nước dọc 2 cạnh dài 0.8x0.8 cm cách mép 1,5 cm, vạt mép cạnh dài 3mm, vạt mép cạnh ngắn 1mm, đáy cưa, KT 100x40x3, Đóng gói 25V</t>
  </si>
  <si>
    <t>Đá nắp tường rào Bluestone, Mài giấy 6 mặt, vạt mép 3mm, KT 120x30x3, Đóng gói 25V</t>
  </si>
  <si>
    <t>Đá nắp tường rào Bluestone, Mài giấy 6 mặt, vạt mép 3mm, KT 120x35x3, Đóng gói 25V</t>
  </si>
  <si>
    <t>Đá bậc thang Bazan xám, 6 mặt đốt chải, vạt mép 3mm, KT 100x30x16, Đóng gói 9V</t>
  </si>
  <si>
    <t>Đá bậc thang Bazan xám, 6 mặt đốt, vạt mép 3mm, KT 100x33x15, Đóng gói 8V</t>
  </si>
  <si>
    <t>Đá bậc thang Bazan xám, 6 mặt đốt chải, vạt mép 3mm, KT 125x30x16, Đóng gói 6V</t>
  </si>
  <si>
    <t>Đá bậc thang Bazan xám, 6 mặt đốt chải, vạt mép 3mm, KT 150x30x16, Đóng gói 6V</t>
  </si>
  <si>
    <t>Đá bậc thang Bazan xám, 6 mặt đốt, vạt mép 3mm, KT 180x36x10, Đóng gói 6V</t>
  </si>
  <si>
    <t>Đá bậc thang Bazan xám, 6 mặt đốt, vạt mép 3mm, KT 200x33x15, Đóng gói 4V</t>
  </si>
  <si>
    <t>Đá bo vỉa hè Bazan xám, Chẻ tay tự nhiên, KT 30x15x10, Đóng gói 126V</t>
  </si>
  <si>
    <t>Đá cubic Bazan xám, Mặt đốt, cạnh cưa, vạt mép 2mm, đáy băm bám hồ, KT 16x16x12, Đóng gói 144V</t>
  </si>
  <si>
    <t>Đá cubic Bazan xám, Mặt đốt, cạnh chẻ tay, đáy cưa, KT 14x14x5, Đóng gói 539V</t>
  </si>
  <si>
    <t>Đá cubic Bazan xám, Mặt đốt, cạnh chẻ tay, đáy cưa, KT 14x14x8, Đóng gói 343V</t>
  </si>
  <si>
    <t>Đá cubic Bazan xám, Mặt đốt, cạnh chẻ tay, đáy cưa, KT 16x16x7, Đóng gói 288V</t>
  </si>
  <si>
    <t>Đá cubic Bazan xám, Chẻ tay tự nhiên, KT 10x10x8, Đóng gói 700V</t>
  </si>
  <si>
    <t>Đá cubic Bazan xám, Chẻ tay tự nhiên, KT 10x10x8.5, Đóng gói 700V</t>
  </si>
  <si>
    <t>Đá cubic Bazan xám, Chẻ tay tự nhiên, KT 10x10x9, Đóng gói 700V</t>
  </si>
  <si>
    <t>Đá cubic Bazan xám, Chẻ tay tự nhiên, KT 14x14x4, Đóng gói 735V</t>
  </si>
  <si>
    <t>Đá cubic Bazan xám, Chẻ tay tự nhiên, KT 14x14x8, Đóng gói 343V</t>
  </si>
  <si>
    <t>Đá cubic Bazan xám, Chẻ tay tự nhiên, KT 16x16x16, Đóng gói 144V</t>
  </si>
  <si>
    <t>Đá cubic Bazan xám, Chẻ tay tự nhiên, KT 19x9x9, Đóng gói 250V</t>
  </si>
  <si>
    <t>Đá cubic Bazan xám, Chẻ tay tự nhiên, KT 20x10x10, Đóng gói 6300V</t>
  </si>
  <si>
    <t>Đá cubic Bazan xám, Chẻ tay tự nhiên, KT 20x10x8.5, Đóng gói 350V</t>
  </si>
  <si>
    <t>Đá cubic Bazan xám, Chẻ tay tự nhiên, KT 20x10x9, Đóng gói 300V</t>
  </si>
  <si>
    <t>Đá cubic Bazan xám, Chẻ tay tự nhiên, KT 20x20x20, Đóng gói 5V</t>
  </si>
  <si>
    <t>Đá cubic Bazan xám, Chẻ tay tự nhiên, KT 29x9x9, Đóng gói 180V</t>
  </si>
  <si>
    <t>Đá cubic Bazan xám, Chẻ tay tự nhiên, KT 30x30x30, Đóng gói 12V</t>
  </si>
  <si>
    <t>Đá cubic Bazan xám, Chẻ tay tự nhiên, KT 40x40x40, Đóng gói 2V</t>
  </si>
  <si>
    <t>Đá cubic Bazan xám, Chẻ tay tự nhiên, KT 50x50x50, Đóng gói 5V</t>
  </si>
  <si>
    <t>Đá cubic Bazan xám, Chẻ tay tự nhiên, KT 5x5x5, Đóng gói 4000V</t>
  </si>
  <si>
    <t>Đá cubic Bazan xám, Chẻ tay tự nhiên, KT 9x9x4.5, Đóng gói 1000V</t>
  </si>
  <si>
    <t>Đá cubic Bazan xám, Chẻ tay tự nhiên, KT 9x9x9, Đóng gói 500V</t>
  </si>
  <si>
    <t>Đá cubic Bazan xám, Chẻ tay tự nhiên, KT 9x9x9, Đóng gói 726V</t>
  </si>
  <si>
    <t>Đá cubic Bazan xám, 1 cạnh dài chẻ tay tự nhiên, còn lại cưa, KT 30x5x5, Đóng gói 432V</t>
  </si>
  <si>
    <t>Đá cây Bazan xám, 6 mặt đốt chải, vạt mép 3mm, KT 100x25x8, Đóng gói 20V</t>
  </si>
  <si>
    <t>Đá cây Bazan xám, 6 mặt đốt chải, vạt mép 3mm, KT 125x25x8, Đóng gói 18V</t>
  </si>
  <si>
    <t>Đá cây Bazan xám, 6 mặt đốt chải, vạt mép 3mm, KT 150x25x8, Đóng gói 16V</t>
  </si>
  <si>
    <t>Đá cây Bazan xám, 6 mặt đốt chải, vạt mép 3mm, KT 150x35x8, Đóng gói 9V</t>
  </si>
  <si>
    <t>Đá cây Bazan xám, 6 mặt đốt chải, vạt mép 3mm, KT 150x9.5x7, Đóng gói 16V</t>
  </si>
  <si>
    <t>Đá cây Bazan xám, 6 mặt đốt chải, vạt mép 3mm, KT 155.5x13.5x5, Đóng gói 16V</t>
  </si>
  <si>
    <t>Đá cây Bazan xám, 6 mặt đốt chải, vạt mép 3mm, KT 155.5x35x4, Đóng gói 16V</t>
  </si>
  <si>
    <t>Đá cây Bazan xám, 6 mặt đốt chải, vạt mép 3mm, KT 155x13.5x5, Đóng gói 16V</t>
  </si>
  <si>
    <t>Đá cây Bazan xám, 6 mặt đốt chải, vạt mép 3mm, KT 155x35x4, Đóng gói 16V</t>
  </si>
  <si>
    <t>Đá cây Bazan xám, 6 mặt đốt chải, vạt mép 3mm, KT 35x13.5x5, Đóng gói 16V</t>
  </si>
  <si>
    <t>Đá cây Bazan xám, 6 mặt đốt chải, vạt mép 3mm, KT 75x25x8, Đóng gói 28V</t>
  </si>
  <si>
    <t>Đá cây Bazan xám, 6 mặt đốt, vạt mép 3mm, KT 90x12x12, Đóng gói 40V</t>
  </si>
  <si>
    <t>Đá cây Bazan xám, 2 mặt đốt, cạnh sộ tay, KT 60x10x10, Đóng gói 60V</t>
  </si>
  <si>
    <t>Đá cây Bazan xám, Chẻ tay tự nhiên, KT 100x25x8, Đóng gói 28V</t>
  </si>
  <si>
    <t>Đá cây Bazan xám, Cưa lột tay, KT 100x12x12, Đóng gói 32V</t>
  </si>
  <si>
    <t>Đá cây Bazan xám, Cưa lột tay, KT 100x20x6, Đóng gói 30V</t>
  </si>
  <si>
    <t>Đá cây Bazan xám, Cưa lột tay, KT 100x20x7, Đóng gói 30V</t>
  </si>
  <si>
    <t>Đá cây Bazan xám, Cưa lột tay, KT 100x20x8, Đóng gói 24V</t>
  </si>
  <si>
    <t>Đá cây Bazan xám, Cưa lột tay, KT 100x25x10, Đóng gói 18V</t>
  </si>
  <si>
    <t>Đá cây Bazan xám, Cưa lột tay, KT 100x25x25, Đóng gói 4V</t>
  </si>
  <si>
    <t>Đá cây Bazan xám, Cưa lột tay, KT 100x25x8, Đóng gói 20V</t>
  </si>
  <si>
    <t>Đá cây Bazan xám, Cưa lột tay, KT 100x30x10, Đóng gói 16V</t>
  </si>
  <si>
    <t>Đá cây Bazan xám, Cưa lột tay, KT 150x12x12, Đóng gói 24V</t>
  </si>
  <si>
    <t>Đá cây Bazan xám, Cưa lột tay, KT 150x25x10, Đóng gói 12V</t>
  </si>
  <si>
    <t>Đá cây Bazan xám, Cưa lột tay, KT 175x25x25, Đóng gói 4V</t>
  </si>
  <si>
    <t>Đá cây Bazan xám, Cưa lột tay, KT 190x35x35, Đóng gói 2V</t>
  </si>
  <si>
    <t>Đá cây Bazan xám, Cưa lột tay, KT 200x25x10, Đóng gói 10V</t>
  </si>
  <si>
    <t>Đá cây Bazan xám, Cưa lột tay, KT 25x12x12, Đóng gói 128V</t>
  </si>
  <si>
    <t>Đá cây Bazan xám, Cưa lột tay, KT 35x12x12, Đóng gói 105V</t>
  </si>
  <si>
    <t>Đá cây Bazan xám, Cưa lột tay, KT 50x12x12, Đóng gói 64V</t>
  </si>
  <si>
    <t>Đá cây Bazan xám, Cưa lột tay, KT 50x25x10, Đóng gói 36V</t>
  </si>
  <si>
    <t>Đá cây Bazan xám, Cưa lột tay, KT 50x25x25, Đóng gói 5V</t>
  </si>
  <si>
    <t>Đá cây Bazan xám, Cưa lột tay, KT 70x50x50, Đóng gói 2V</t>
  </si>
  <si>
    <t>Đá cây Bazan xám, Cưa lột tay, KT 75x12x12, Đóng gói 45V</t>
  </si>
  <si>
    <t>Đá cây Bazan xám, Cưa lột tay, KT 75x25x10, Đóng gói 20V</t>
  </si>
  <si>
    <t>Đá cây Bazan xám, Cưa lột tay, KT 75x25x25, Đóng gói 7V</t>
  </si>
  <si>
    <t>Đá cây Bazan xám, Cưa lột tay, KT 90-110x28x12, Đóng gói 16V</t>
  </si>
  <si>
    <t>Đá lát Bazan xám, 6 mặt đốt chải, vạt mép 3mm, KT 121.4x20x10.2, Đóng gói 12V</t>
  </si>
  <si>
    <t>Đá lát Bazan xám, 6 mặt đốt chải, vạt mép 3mm, KT 132.1x35.6x8, Đóng gói 11V</t>
  </si>
  <si>
    <t>Đá lát Bazan xám, 6 mặt đốt chải, vạt mép 3mm, KT 61x40.6x5, Đóng gói 20V</t>
  </si>
  <si>
    <t>Đá lát Bazan xám, Mặt đốt, cạnh cưa, KT 100x50x3, Đóng gói 20V</t>
  </si>
  <si>
    <t>Đá lát Bazan xám, Mặt đốt chải, cạnh cưa, KT 104.1x68.6x4, Đóng gói 12V</t>
  </si>
  <si>
    <t>Đá lát Bazan xám, Mặt đốt chải, cạnh cưa, KT 106.7x61x5, Đóng gói 10V</t>
  </si>
  <si>
    <t>Đá lát Bazan xám, Mặt đốt chải, cạnh cưa, KT 106.7x68.6x4, Đóng gói 10V</t>
  </si>
  <si>
    <t>Đá lát Bazan xám, Mặt đốt, cạnh cưa, vạt mép 3mm, KT 12.7x7.6x3, Đóng gói 60V</t>
  </si>
  <si>
    <t>Đá lát Bazan xám, Mặt đốt chải, cạnh cưa, KT 121.4x32.5x3, Đóng gói 33V</t>
  </si>
  <si>
    <t>Đá lát Bazan xám, Mặt đốt chải, cạnh cưa, KT 121.4x41.8x3, Đóng gói 33V</t>
  </si>
  <si>
    <t>Đá lát Bazan xám, Mặt đốt chải, cạnh cưa, KT 121.4x63.3x3, Đóng gói 23V</t>
  </si>
  <si>
    <t>Đá lát Bazan xám, Mặt đốt chải, cạnh cưa, KT 121.4x67.5x3, Đóng gói 23V</t>
  </si>
  <si>
    <t>Đá lát Bazan xám, Mặt đốt chải, cạnh cưa, KT 121.9x68.6x8, Đóng gói 6V</t>
  </si>
  <si>
    <t>Đá lát Bazan xám, Mặt đốt chải, cạnh cưa, KT 149.5x61x8, Đóng gói 5V</t>
  </si>
  <si>
    <t>Đá lát Bazan xám, Mặt đốt chải, cạnh cưa, KT 152.4x62.2x10, Đóng gói 4V</t>
  </si>
  <si>
    <t>Đá lát Bazan xám, Mặt đốt chải, cạnh cưa, KT 152.4x66x4, Đóng gói 7V</t>
  </si>
  <si>
    <t>Đá lát Bazan xám, Mặt đốt chải, KT 20x6x2, Đóng gói 40V</t>
  </si>
  <si>
    <t>Đá lát Bazan xám, Mặt đốt, cạnh cưa, đáy cưa, KT 30x30x3, Đóng gói 100V</t>
  </si>
  <si>
    <t>Đá lát Bazan xám, Mặt đốt chải, cạnh cưa, KT 37.6x31.6x3, Đóng gói 33V</t>
  </si>
  <si>
    <t>Đá lát Bazan xám, Mặt đốt, cạnh cưa, vạt mép 3mm, KT 39x19.5x6, Đóng gói 96V</t>
  </si>
  <si>
    <t>Đá lát Bazan xám, Mặt đốt chải, cạnh cưa, KT 41.8x29.4x3, Đóng gói 33V</t>
  </si>
  <si>
    <t>Đá lát Bazan xám, Mặt đốt chải, cạnh cưa, KT 41.8x39.5x3, Đóng gói 33V</t>
  </si>
  <si>
    <t>Đá lát Bazan xám, Mặt đốt chải, cạnh cưa, vạt mép 1mm, KT 45.7x91.4x2, Đóng gói 25V</t>
  </si>
  <si>
    <t>Đá lát Bazan xám, Mặt đốt chải, cạnh cưa, vạt mép 1mm, KT 45.7x91.4x4, Đóng gói 15V</t>
  </si>
  <si>
    <t>Đá lát Bazan xám, Mặt đốt, cạnh cưa, đáy cưa, KT 45x90x3, Đóng gói 30V</t>
  </si>
  <si>
    <t>Đá lát Bazan xám, Mặt đốt, cạnh cưa, vạt mép 3mm, KT 50x50x4, Đóng gói 2V</t>
  </si>
  <si>
    <t>Đá lát Bazan xám, Mặt đốt, cạnh cưa, đáy cưa, KT 60x30x3, Đóng gói 60V</t>
  </si>
  <si>
    <t>Đá lát Bazan xám, Mặt đốt chải, cạnh cưa, vạt mép 3mm, KT 60x60x3, Đóng gói 13V</t>
  </si>
  <si>
    <t>Đá lát Bazan xám, Mặt đốt chải, cạnh cưa, vạt mép 1mm, KT 61x121.9x2, Đóng gói 18V</t>
  </si>
  <si>
    <t>Đá lát Bazan xám, Mặt đốt chải, cạnh cưa, vạt mép 1mm, KT 61x121.9x4, Đóng gói 10V</t>
  </si>
  <si>
    <t>Đá lát Bazan xám, Mặt đốt, cạnh cưa, vạt mép 1mm, KT 61x40.6x1.5, Đóng gói 68V</t>
  </si>
  <si>
    <t>Đá lát Bazan xám, Mặt đốt, cạnh cưa, vạt mép 3mm, KT 61x40.6x3, Đóng gói 34V</t>
  </si>
  <si>
    <t>Đá lát Bazan xám, Mặt đốt chải, cạnh cưa, KT 63.3x29.4x3, Đóng gói 33V</t>
  </si>
  <si>
    <t>Đá lát Bazan xám, Mặt đốt chải, cạnh cưa, KT 63.3x39.5x3, Đóng gói 33V</t>
  </si>
  <si>
    <t>Đá lát Bazan xám, Mặt đốt chải, cạnh cưa, KT 71.9x63.3x3, Đóng gói 27V</t>
  </si>
  <si>
    <t>Đá lát Bazan xám, Mặt đốt chải, cạnh cưa, KT 74.8x47.1x5, Đóng gói 10V</t>
  </si>
  <si>
    <t>Đá lát Bazan xám, Mặt đốt chải, cạnh cưa, KT 91x19.5x3, Đóng gói 33V</t>
  </si>
  <si>
    <t>Đá lát Bazan xám, Mặt đốt chải, cạnh cưa, KT 91x63.3x3, Đóng gói 27V</t>
  </si>
  <si>
    <t>Đá lát Bazan xám, Mặt đốt chải, cạnh cưa, KT 95.3x54.6x5, Đóng gói 10V</t>
  </si>
  <si>
    <t>Đá lát Bazan xám, Mặt đốt chải, cạnh cưa, KT 95.3x57.2x5, Đóng gói 10V</t>
  </si>
  <si>
    <t>Đá lát Bazan xám, Mặt đốt chải, cạnh cưa, KT 99.5x45.2x5, Đóng gói 10V</t>
  </si>
  <si>
    <t>Đá lát Bazan xám, Mặt đốt, cạnh chẻ tay, đáy cưa, KT 20-40x20-40x2, Đóng gói 10V</t>
  </si>
  <si>
    <t>Đá lát Bazan xám, Mặt đốt, cạnh chẻ tay, đáy cưa, KT 30x30x6, Đóng gói 84V</t>
  </si>
  <si>
    <t>Đá lát Bazan xám, Mặt đốt, cạnh chẻ tay, đáy cưa, KT 60x30x6, Đóng gói 42V</t>
  </si>
  <si>
    <t>Đá lát Bazan xám, Mặt đốt, cạnh chẻ tay, đáy cưa, KT 60x40x6, Đóng gói 28V</t>
  </si>
  <si>
    <t>Đá lát Bazan xám, Mặt đốt, cạnh chẻ tay, đáy cưa, KT 90x45x6, Đóng gói 16V</t>
  </si>
  <si>
    <t>Đá lát Bazan xám, Mặt đốt, 1 cạnh ngắn đốt, các cạnh còn lại cưa, vạt mép 3mm, KT 12.7x7.6x5, Đóng gói 60V</t>
  </si>
  <si>
    <t>Đá lát Bazan xám, Mặt hon, vạt mép 1mm, KT 106.7x45.7x2, Đóng gói 40V</t>
  </si>
  <si>
    <t>Đá lát Bazan xám, Mặt hon, vạt mép 1mm, KT 113.7x15.2x2, Đóng gói 60V</t>
  </si>
  <si>
    <t>Đá lát Bazan xám, Mặt hon, 1 cạnh dài hon, KT 113.7x29.8x2, Đóng gói 34V</t>
  </si>
  <si>
    <t>Đá lát Bazan xám, Mặt hon, vạt mép 1mm, KT 116.2x15.2x2, Đóng gói 60V</t>
  </si>
  <si>
    <t>Đá lát Bazan xám, Mặt hon, 1 cạnh dài hon, KT 116.2x29.8x2, Đóng gói 34V</t>
  </si>
  <si>
    <t>Đá lát Bazan xám, Mặt hon, 1 cạnh dài hon, KT 128.9x29.8x2, Đóng gói 34V</t>
  </si>
  <si>
    <t>Đá lát Bazan xám, Mặt hon, 1 cạnh dài hon, KT 131.4x29.8x2, Đóng gói 34V</t>
  </si>
  <si>
    <t>Đá lát Bazan xám, Mặt hon, vạt mép 1mm, KT 148.9x15.2x2, Đóng gói 60V</t>
  </si>
  <si>
    <t>Đá lát Bazan xám, Mặt hon, vạt mép 1mm, KT 151.4x15.2x2, Đóng gói 60V</t>
  </si>
  <si>
    <t>Đá lát Bazan xám, Mặt hon, 1 cạnh dài hon, KT 164.1x29.8x2, Đóng gói 34V</t>
  </si>
  <si>
    <t>Đá lát Bazan xám, Mặt hon, 1 cạnh dài hon, KT 166.7x29.8x2, Đóng gói 34V</t>
  </si>
  <si>
    <t>Đá lát Bazan xám, Mặt hon, KT 20x6x2, Đóng gói 40V</t>
  </si>
  <si>
    <t>Đá lát Bazan xám, Mặt hon, vạt mép 1mm, KT 30.5x30.5x1.2, Đóng gói 189V</t>
  </si>
  <si>
    <t>Đá lát Bazan xám, Mặt hon, vạt mép 1mm, KT 61x20.3x1.5, Đóng gói 82V</t>
  </si>
  <si>
    <t>Đá lát Bazan xám, Mặt hon, vạt mép 1mm, KT 61x27.9x1.5, Đóng gói 77V</t>
  </si>
  <si>
    <t>Đá lát Bazan xám, Mặt hon, vạt mép 1mm, KT 61x30.5x1.2, Đóng gói 140V</t>
  </si>
  <si>
    <t>Đá lát Bazan xám, Mặt hon, cạnh cưa, vạt mép 1mm, KT 61x30.5x1.5, Đóng gói 120V</t>
  </si>
  <si>
    <t>Đá lát Bazan xám, Mặt hon, vạt mép 1mm, KT 61x35.6x1.5, Đóng gói 88V</t>
  </si>
  <si>
    <t>Đá lát Bazan xám, Mặt hon, vạt mép 1mm, KT 61x45.7x1.5, Đóng gói 85V</t>
  </si>
  <si>
    <t>Đá lát Bazan xám, Mặt hon, cạnh cưa, vạt mép 1mm, KT 61x61x1.5, Đóng gói 60V</t>
  </si>
  <si>
    <t>Đá lát Bazan xám, Mặt hon, vạt mép 1mm, KT 81.3x45.7x2, Đóng gói 57V</t>
  </si>
  <si>
    <t>Đá lát Bazan xám, Mặt hon, KT 86.4x50.8x2, Đóng gói 60V</t>
  </si>
  <si>
    <t>Đá lát Bazan xám, Mặt hon, vạt mép 1mm, KT 91.4x45.7x2, Đóng gói 57V</t>
  </si>
  <si>
    <t>Đá lát Bazan xám, Mặt hon, cạnh cưa, vạt mép 1mm, KT 91.5x30.5x1.5, Đóng gói 84V</t>
  </si>
  <si>
    <t>Đá lát Bazan xám, Mặt phun cát, KT 20x6x2, Đóng gói 40V</t>
  </si>
  <si>
    <t>Đá lát Bazan xám, Mặt băm, KT 20x6x2, Đóng gói 40V</t>
  </si>
  <si>
    <t>Đá lát Bazan xám, Mặt đốt xịt nước, KT 20x6x2, Đóng gói 40V</t>
  </si>
  <si>
    <t>Đá tấm Bazan xám, Mặt đốt, cạnh cưa, vạt mép 1mm, KT 154.9x15.2x3, Đóng gói 4V</t>
  </si>
  <si>
    <t>Đá tấm Bazan xám, Mặt đốt, cạnh cưa, vạt mép 1mm, KT 182.9x15.2x3, Đóng gói 4V</t>
  </si>
  <si>
    <t>Đá tấm Bazan xám, Mặt hon, cạnh cưa, vạt mép 1mm, KT 160x80x2, Đóng gói 14V</t>
  </si>
  <si>
    <t>Đá tấm Bazan xám, Mặt hon, KT 200x64x2, Đóng gói 20V</t>
  </si>
  <si>
    <t>Đá vành Bazan xám, Cưa 2 mặt, KT 50-60x50-60x3, Đóng gói 30V</t>
  </si>
  <si>
    <t>Đá len chân tường Bazan xám, Mặt đốt, cạnh cưa, vạt mép 1mm, KT 40x8x1.2, Đóng gói 54V</t>
  </si>
  <si>
    <t>Đá len chân tường Bazan xám, Mặt đốt, cạnh cưa, vạt mép 2mm, KT 50x8x2, Đóng gói 44V</t>
  </si>
  <si>
    <t>Đá len chân tường Bazan xám, Mặt đốt, cạnh cưa, vạt mép 1mm, KT 60x8x1.2, Đóng gói 54V</t>
  </si>
  <si>
    <t>Đá len chân tường Bazan xám, Mặt đốt, cạnh cưa, vạt mép 2mm, KT 65x8x2, Đóng gói 44V</t>
  </si>
  <si>
    <t>Đá len chân tường Bazan xám, Mặt đốt, cạnh cưa, vạt mép 1mm, KT 80x8x1.2, Đóng gói 54V</t>
  </si>
  <si>
    <t>Đá len chân tường Bazan xám, Mặt đốt, cạnh cưa, vạt mép 2mm, KT 80x8x2, Đóng gói 44V</t>
  </si>
  <si>
    <t>Đá nắp tường rào Bazan xám, Mặt đốt, 2 cạnh dài đốt, vạt mép 2mm, 2 rãnh thoát nước dọc 2 cạnh dài 0.5 x 0.5cm cách mép 1cm, KT 100x26.5x3, Đóng gói 44V</t>
  </si>
  <si>
    <t>Đá nắp tường rào Bazan xám, Mặt đốt, 2 cạnh dài đốt, vạt mép 2mm, 2 rãnh thoát nước dọc 2 cạnh dài 0.5 x 0.5cm cách mép 1cm, KT 160x26.5x3, Đóng gói 44V</t>
  </si>
  <si>
    <t>Đá nắp tường rào Bazan xám, Mặt đốt, 2 cạnh dài đốt, vạt mép 2mm, 2 rãnh thoát nước dọc 2 cạnh dài 0.5 x 0.5cm cách mép 1cm, KT 50x26.5x3, Đóng gói 44V</t>
  </si>
  <si>
    <t>Đá ốp bậc thang Bazan xám, Mặt đốt, cạnh cưa, vạt mép 2mm, KT 142x13.5x2, Đóng gói 44V</t>
  </si>
  <si>
    <t>Đá ốp bậc thang Bazan xám, Mặt đốt, cạnh cưa, vạt mép 2mm, KT 142x18.5x2, Đóng gói 44V</t>
  </si>
  <si>
    <t>Đá ốp bậc thang Bazan xám, Mặt đốt, cạnh cưa, vạt mép 2mm, KT 158x13.5x2, Đóng gói 44V</t>
  </si>
  <si>
    <t>Đá ốp bậc thang Bazan xám, Mặt đốt, 1 cạnh dài đốt, còn lại cưa, vạt mép 2mm, KT 142x34x3, Đóng gói 44V</t>
  </si>
  <si>
    <t>Đá ốp bậc thang Bazan xám, Mặt đốt, mặt sau cắt bỏ 2 mảnh (21x17x3cm và 23x17x3cm), 1 cạnh dài đốt, còn lại cưa, vạt mép 2mm, KT 142x70x3, Đóng gói 44V</t>
  </si>
  <si>
    <t>Đá ốp bậc thang Bazan xám, Mặt đốt, 1 cạnh dài đốt, còn lại cưa, vạt mép 2mm, KT 145x68x3, Đóng gói 44V</t>
  </si>
  <si>
    <t>Đá ốp bậc thang Bazan xám, Mặt đốt, 1 cạnh dài đốt, còn lại cưa, vạt mép 2mm, KT 148x59x3, Đóng gói 44V</t>
  </si>
  <si>
    <t>Đá tường rào Bazan xám, Chẻ tay tự nhiên, KT 35x17x15, Đóng gói 72V</t>
  </si>
  <si>
    <t>Đá tường rào Bazan xám, Chẻ tay tự nhiên, KT 40x20x10, Đóng gói 60V</t>
  </si>
  <si>
    <t>Đá tường rào Bazan xám, 2 cạnh dài chẻ tay tự nhiên, còn lại cưa, KT 30-45-60x20x15, Đóng gói 30V</t>
  </si>
  <si>
    <t>Đá tường rào Bazan xám, 2 cạnh dài chẻ tay tự nhiên, còn lại cưa, KT 30-45-60x20x22.5, Đóng gói 21V</t>
  </si>
  <si>
    <t>Đá tường rào Bazan xám, 2 cạnh dài chẻ tay tự nhiên, còn lại cưa, KT 30-45-60x20x7.5, Đóng gói 60V</t>
  </si>
  <si>
    <t>Đá cubic Granite đỏ, Tẩy đẹp 6 mặt, KT 9x9x9, Đóng gói 500V</t>
  </si>
  <si>
    <t>Đá cubic Granite đỏ, Tẩy đẹp 6 mặt, KT 19x9x9, Đóng gói 250V</t>
  </si>
  <si>
    <t>Đá cubic Granite đỏ, Tẩy đẹp 6 mặt, KT 29x9x9, Đóng gói 180V</t>
  </si>
  <si>
    <t>Đá cubic Granite đỏ, Tẩy đẹp 6 mặt, KT 9x9x4.5, Đóng gói 1000V</t>
  </si>
  <si>
    <t>Đá cubic Granite đỏ, Mặt băm, cạnh chẻ tay, đáy cưa, KT 14x14x6, Đóng gói 441V</t>
  </si>
  <si>
    <t>Đá cây Granite đỏ, 6 mặt đốt, KT 90x12x12, Đóng gói 30V</t>
  </si>
  <si>
    <t>Đá lát Granite đỏ, Mặt đốt, cạnh cưa, đáy cưa, KT 30x30x3, Đóng gói 120V</t>
  </si>
  <si>
    <t>Đá lát Granite đỏ, Mặt đốt, cạnh cưa, đáy cưa, KT 60x30x3, Đóng gói 60V</t>
  </si>
  <si>
    <t>Đá lát Granite đỏ, Mặt đốt, cạnh cưa, đáy cưa, KT 60x40x3, Đóng gói 50V</t>
  </si>
  <si>
    <t>Đá lát Granite đỏ, Mặt đốt, cạnh cưa, đáy cưa, KT 90x45x3, Đóng gói 30V</t>
  </si>
  <si>
    <t>Đá cubic Granite hồng, Tẩy đẹp 6 mặt, KT 19x9x9, Đóng gói 250V</t>
  </si>
  <si>
    <t>Đá cubic Granite hồng, Tẩy đẹp 6 mặt, KT 9x9x9, Đóng gói 500V</t>
  </si>
  <si>
    <t>Đá cây Granite hồng, 2 mặt băm, cạnh tẩy tay, KT 90x10x10, Đóng gói 40V</t>
  </si>
  <si>
    <t>Đá cubic Granite trắng, Chẻ tay tự nhiên, KT 10x10x5, Đóng gói 1000V</t>
  </si>
  <si>
    <t>Đá cubic Granite trắng, Chẻ tay tự nhiên, KT 20x10x7, Đóng gói 400V</t>
  </si>
  <si>
    <t>Đá cubic Granite trắng, Tẩy đẹp 6 mặt, KT 19x9x9, Đóng gói 250V</t>
  </si>
  <si>
    <t>Đá cubic Granite trắng, Tẩy đẹp 6 mặt, KT 9x9x9, Đóng gói 500V</t>
  </si>
  <si>
    <t>Đá cubic Granite trắng, Tẩy đẹp 6 mặt, KT 29x9x9, Đóng gói 180V</t>
  </si>
  <si>
    <t>Đá cubic Granite trắng, Tẩy đẹp 6 mặt, KT 9x9x5, Đóng gói 1000V</t>
  </si>
  <si>
    <t>Đá cubic Granite trắng, Mặt tẩy đẹp, cạnh chẻ tay, KT 9x9x3, Đóng gói 1500V</t>
  </si>
  <si>
    <t>Đá cây Granite trắng, Tẩy đẹp 6 mặt, KT 180x15x12, Đóng gói 15V</t>
  </si>
  <si>
    <t>Đá cây Granite trắng, Tẩy đẹp 6 mặt, KT 60x10x10, Đóng gói 60V</t>
  </si>
  <si>
    <t>Đá cây Granite trắng, Tẩy đẹp 6 mặt, KT 60x15x12, Đóng gói 40V</t>
  </si>
  <si>
    <t>Đá cây Granite trắng, Tẩy đẹp 6 mặt, KT 60x9x9, Đóng gói 80V</t>
  </si>
  <si>
    <t>Đá cây Granite trắng, Tẩy đẹp 6 mặt, KT 90x10x10, Đóng gói 40V</t>
  </si>
  <si>
    <t>Đá cây Granite trắng, Tẩy đẹp 6 mặt, KT 90x15x10, Đóng gói 30V</t>
  </si>
  <si>
    <t>Đá cây Granite trắng, Tẩy đẹp 6 mặt, KT 90x15x12, Đóng gói 30V</t>
  </si>
  <si>
    <t>Đá cây Granite trắng, 2 mặt băm, cạnh tẩy tay, KT 180x20x10, Đóng gói 10V</t>
  </si>
  <si>
    <t>Đá cây Granite trắng, 2 mặt băm, cạnh tẩy tay, KT 180x24x12, Đóng gói 8V</t>
  </si>
  <si>
    <t>Đá cây Granite trắng, 2 mặt băm, cạnh tẩy tay, KT 90x15x10, Đóng gói 30V</t>
  </si>
  <si>
    <t>Đá cây Granite trắng, Mặt đốt, 1 cạnh dài đốt, các cạnh còn lại cưa, vạt mép cạnh dài 3mm, KT 60x12x10, Đóng gói 60V</t>
  </si>
  <si>
    <t>Đá lát Granite trắng, Tẩy đẹp 5 mặt, KT 30x30x6, Đóng gói 72V</t>
  </si>
  <si>
    <t>Đá lát Granite trắng, Tẩy đẹp 5 mặt, KT 60x30x5, Đóng gói 48V</t>
  </si>
  <si>
    <t>Đá lát Granite trắng, Tẩy đẹp 5 mặt, KT 60x30x6, Đóng gói 36V</t>
  </si>
  <si>
    <t>Đá lát Granite trắng, Tẩy đẹp 5 mặt, KT 60x40x6, Đóng gói 28V</t>
  </si>
  <si>
    <t>Đá lát Granite trắng, Tẩy đẹp 5 mặt, KT 80x40x6, Đóng gói 21V</t>
  </si>
  <si>
    <t>Đá lát Granite trắng, Tẩy đẹp 5 mặt, KT 90x45x7, Đóng gói 14V</t>
  </si>
  <si>
    <t>Đá lát Granite trắng, Mặt băm, cạnh tẩy đẹp, đáy cưa, KT 90x45x6, Đóng gói 14V</t>
  </si>
  <si>
    <t>Đá vành Granite trắng, Mặt tẩy đẹp, cạnh chẻ tay, mép trên bo tròn r=2.5cm tẩy đẹp, đáy cưa, KT 40x40x7, Đóng gói 40V</t>
  </si>
  <si>
    <t>Đá bậc thang Granite vàng, 4 mặt băm, 5 cạnh bo tròn, cạnh còn lại cưa, KT 45x35x30, Đóng gói 8V</t>
  </si>
  <si>
    <t>Đá bo vỉa hè Granite vàng, Chẻ tay tự nhiên, KT 30x15x10, Đóng gói 126V</t>
  </si>
  <si>
    <t>Đá cubic Granite vàng, Chẻ tay tự nhiên, KT 20x10x7, Đóng gói 400V</t>
  </si>
  <si>
    <t>Đá cubic Granite vàng, Tẩy đẹp 6 mặt, KT 19x9x9, Đóng gói 250V</t>
  </si>
  <si>
    <t>Đá cubic Granite vàng, Tẩy đẹp 6 mặt, KT 29x9x9, Đóng gói 180V</t>
  </si>
  <si>
    <t>Đá cubic Granite vàng, Tẩy đẹp 6 mặt, KT 9x9x4.5, Đóng gói 1000V</t>
  </si>
  <si>
    <t>Đá cubic Granite vàng, Tẩy đẹp 6 mặt, KT 9x9x9, Đóng gói 500V</t>
  </si>
  <si>
    <t>Đá cây Granite vàng, Tẩy đẹp 5 mặt, KT 150x30x7, Đóng gói 12V</t>
  </si>
  <si>
    <t>Đá cây Granite vàng, Tẩy đẹp 5 mặt, KT 180x30x7, Đóng gói 10V</t>
  </si>
  <si>
    <t>Đá cây Granite vàng, Tẩy đẹp 5 mặt, KT 210x30x7, Đóng gói 8V</t>
  </si>
  <si>
    <t>Đá cây Granite vàng, Tẩy đẹp 6 mặt, KT 180x15x12, Đóng gói 15V</t>
  </si>
  <si>
    <t>Đá cây Granite vàng, Tẩy đẹp 6 mặt, KT 50x15x10, Đóng gói 60V</t>
  </si>
  <si>
    <t>Đá cây Granite vàng, Tẩy đẹp 6 mặt, KT 60x10x10, Đóng gói 60V</t>
  </si>
  <si>
    <t>Đá cây Granite vàng, Tẩy đẹp 6 mặt, KT 60x15x12, Đóng gói 40V</t>
  </si>
  <si>
    <t>Đá cây Granite vàng, Tẩy đẹp 6 mặt, KT 60x9x9, Đóng gói 80V</t>
  </si>
  <si>
    <t>Đá cây Granite vàng, Tẩy đẹp 6 mặt, KT 90x10x10, Đóng gói 40V</t>
  </si>
  <si>
    <t>Đá cây Granite vàng, Tẩy đẹp 6 mặt, KT 90x15x12, Đóng gói 30V</t>
  </si>
  <si>
    <t>Đá cây Granite vàng, Cưa lột tay, KT 100x25x10, Đóng gói 18V</t>
  </si>
  <si>
    <t>Đá cây Granite vàng, Cưa lột tay, KT 100x25x10, Đóng gói 20V</t>
  </si>
  <si>
    <t>Đá cây Granite vàng, Cưa lột tay, KT 125x25x10, Đóng gói 16V</t>
  </si>
  <si>
    <t>Đá cây Granite vàng, Cưa lột tay, KT 150x25x10, Đóng gói 14V</t>
  </si>
  <si>
    <t>Đá cây Granite vàng, Cưa lột tay, KT 150x25x10, Đóng gói 16V</t>
  </si>
  <si>
    <t>Đá cây Granite vàng, Cưa lột tay, KT 200x25x10, Đóng gói 10V</t>
  </si>
  <si>
    <t>Đá cây Granite vàng, Cưa lột tay, KT 250x25x10, Đóng gói 8V</t>
  </si>
  <si>
    <t>Đá cây Granite vàng, Cưa lột tay, KT 50x25x10, Đóng gói 36V</t>
  </si>
  <si>
    <t>Đá cây Granite vàng, Cưa lột tay, KT 75x25x10, Đóng gói 20V</t>
  </si>
  <si>
    <t>Đá cây Granite vàng, 2 mặt băm, cạnh tẩy tay, KT 90x10x10, Đóng gói 42V</t>
  </si>
  <si>
    <t>Đá lát Granite vàng, Tẩy đẹp 5 mặt, KT 30x30x6, Đóng gói 72V</t>
  </si>
  <si>
    <t>Đá lát Granite vàng, Tẩy đẹp 5 mặt, KT 60x30x6, Đóng gói 36V</t>
  </si>
  <si>
    <t>Đá lát Granite vàng, Tẩy đẹp 5 mặt, KT 60x30x7, Đóng gói 36V</t>
  </si>
  <si>
    <t>Đá lát Granite vàng, Tẩy đẹp 5 mặt, KT 60x40x6, Đóng gói 28V</t>
  </si>
  <si>
    <t>Đá lát Granite vàng, Tẩy đẹp 5 mặt, KT 90x45x7, Đóng gói 14V</t>
  </si>
  <si>
    <t>Đá lát Granite vàng, Mặt băm, cạnh tẩy đẹp, đáy cưa, KT 90x45x7, Đóng gói 16V</t>
  </si>
  <si>
    <t>Đá lát Granite vàng, Mặt băm, cạnh tẩy đẹp, đáy cưa, KT 90x60x8, Đóng gói 10V</t>
  </si>
  <si>
    <t>Đá lát Granite vàng, Mặt đốt, cạnh cưa, đáy cưa, KT 30x30x3, Đóng gói 100V</t>
  </si>
  <si>
    <t>Đá vành Granite vàng, Mặt băm, cạnh chẻ tay, mép trên bo tròn, đáy cưa, KT 45-50x45-50x8, Đóng gói 20V</t>
  </si>
  <si>
    <t>Đá bậc thang Granite xám, Tẩy đẹp 6 mặt, KT 200x33x15, Đóng gói 4V</t>
  </si>
  <si>
    <t>Đá bậc thang Granite xám, 6 mặt đốt, vạt mép cạnh dài 5mm, vạt mép cạnh ngắn 3mm, KT 100x30x16, Đóng gói 9V</t>
  </si>
  <si>
    <t>Đá bậc thang Granite xám, 6 mặt đốt, vạt mép cạnh dài 5mm, vạt mép cạnh ngắn 3mm, KT 100x35x15, Đóng gói 10V</t>
  </si>
  <si>
    <t>Đá bậc thang Granite xám, 6 mặt đốt, vạt mép cạnh dài 5mm, vạt mép cạnh ngắn 3mm, KT 100x35x15, Đóng gói 8V</t>
  </si>
  <si>
    <t>Đá bậc thang Granite xám, 6 mặt đốt, vạt mép cạnh dài 5mm, vạt mép cạnh ngắn 3mm, KT 120x35x15, Đóng gói 8V</t>
  </si>
  <si>
    <t>Đá bậc thang Granite xám, 6 mặt đốt, vạt mép cạnh dài 5mm, vạt mép cạnh ngắn 3mm, KT 125x30x16, Đóng gói 6V</t>
  </si>
  <si>
    <t>Đá bậc thang Granite xám, 6 mặt đốt, vạt mép cạnh dài 5mm, vạt mép cạnh ngắn 3mm, KT 150x30x16, Đóng gói 6V</t>
  </si>
  <si>
    <t>Đá bậc thang Granite xám, 6 mặt đốt, vạt mép cạnh dài 5mm, vạt mép cạnh ngắn 3mm, KT 150x35x15, Đóng gói 5V</t>
  </si>
  <si>
    <t>Đá bậc thang Granite xám, 6 mặt đốt, vạt mép cạnh dài 5mm, vạt mép cạnh ngắn 3mm, KT 150x35x15, Đóng gói 6V</t>
  </si>
  <si>
    <t>Đá bậc thang Granite xám, 6 mặt đốt, vạt mép cạnh dài 5mm, vạt mép cạnh ngắn 3mm, KT 60x35x15, Đóng gói 16V</t>
  </si>
  <si>
    <t>Đá bậc thang Granite xám, 6 mặt đốt, vạt mép cạnh dài 5mm, vạt mép cạnh ngắn 3mm, KT 80x35x15, Đóng gói 12V</t>
  </si>
  <si>
    <t>Đá bo tường rào Granite xám, Mặt đốt, 1 cạnh dài đốt, vạt mép 5mm, KT 60x20x6, Đóng gói 48V</t>
  </si>
  <si>
    <t>Đá cubic Granite xám, Tẩy đẹp 6 mặt, KT 19x9x9, Đóng gói 250V</t>
  </si>
  <si>
    <t>Đá cubic Granite xám, Chẻ tay, tẩy đẹp 6 mặt, KT 9x9x5, Đóng gói 1000V</t>
  </si>
  <si>
    <t>Đá cubic Granite xám, Chẻ tay, tẩy đẹp 6 mặt, KT 9x9x9, Đóng gói 500V</t>
  </si>
  <si>
    <t>Đá cubic Granite xám, Tẩy đẹp 6 mặt, KT 29x9x9, Đóng gói 180V</t>
  </si>
  <si>
    <t>Đá cubic Granite xám, Mặt đốt, cạnh chẻ tay, đáy cưa, KT 10x10x3, Đóng gói 1980V</t>
  </si>
  <si>
    <t>Đá cubic Granite xám, Mặt đốt, cạnh chẻ tay, đáy cưa, KT 10x10x6, Đóng gói 900V</t>
  </si>
  <si>
    <t>Đá cây Granite xám, Tẩy đẹp 5 mặt, KT 60x30x6, Đóng gói 36V</t>
  </si>
  <si>
    <t>Đá cây Granite xám, Tẩy đẹp 5 mặt, KT 60x40x6, Đóng gói 28V</t>
  </si>
  <si>
    <t>Đá cây Granite xám, Mặt đốt, 1 cạnh dài bo tròn R=20mm đốt, các cạnh còn lại cưa, KT 100x20x8, Đóng gói 24V</t>
  </si>
  <si>
    <t>Đá cây Granite xám, 6 mặt đốt, vạt mép 3mm, KT 100x25x10, Đóng gói 20V</t>
  </si>
  <si>
    <t>Đá cây Granite xám, 6 mặt đốt, vạt mép 3mm, KT 100x25x6, Đóng gói 32V</t>
  </si>
  <si>
    <t>Đá cây Granite xám, 6 mặt đốt, vạt mép 5mm, KT 100x25x8, Đóng gói 20V</t>
  </si>
  <si>
    <t>Đá cây Granite xám, 6 mặt đốt, vạt mép 3mm, KT 100x25x8, Đóng gói 24V</t>
  </si>
  <si>
    <t>Đá cây Granite xám, 6 mặt đốt, vạt mép 5mm, KT 120x25x10, Đóng gói 14V</t>
  </si>
  <si>
    <t>Đá cây Granite xám, 6 mặt đốt, vạt mép 3mm, KT 120x25x10, Đóng gói 18V</t>
  </si>
  <si>
    <t>Đá cây Granite xám, 6 mặt đốt, vạt mép 5mm, KT 125x25x8, Đóng gói 18V</t>
  </si>
  <si>
    <t>Đá cây Granite xám, 6 mặt đốt, vạt mép 3mm, KT 150x25x10, Đóng gói 14V</t>
  </si>
  <si>
    <t>Đá cây Granite xám, 6 mặt đốt, vạt mép 5mm, KT 150x25x8, Đóng gói 16V</t>
  </si>
  <si>
    <t>Đá cây Granite xám, 6 mặt đốt, vạt mép 3mm, KT 180x25x10, Đóng gói 12V</t>
  </si>
  <si>
    <t>Đá cây Granite xám, 6 mặt đốt, vạt mép 3mm, KT 200x25x10, Đóng gói 10V</t>
  </si>
  <si>
    <t>Đá cây Granite xám, 6 mặt đốt, vạt mép 3mm, KT 250x25x10, Đóng gói 8V</t>
  </si>
  <si>
    <t>Đá cây Granite xám, 6 mặt đốt, vạt mép 3mm, KT 40x25x10, Đóng gói 40V</t>
  </si>
  <si>
    <t>Đá cây Granite xám, 6 mặt đốt, vạt mép 5mm, KT 50x25x8, Đóng gói 48V</t>
  </si>
  <si>
    <t>Đá cây Granite xám, 6 mặt đốt, vạt mép 5mm, KT 60x25x10, Đóng gói 28V</t>
  </si>
  <si>
    <t>Đá cây Granite xám, 6 mặt đốt, vạt mép 3mm, KT 60x25x10, Đóng gói 36V</t>
  </si>
  <si>
    <t>Đá cây Granite xám, 6 mặt đốt, vạt mép 5mm, KT 75x25x8, Đóng gói 28V</t>
  </si>
  <si>
    <t>Đá cây Granite xám, 6 mặt đốt, vạt mép 3mm, KT 80x25x10, Đóng gói 24V</t>
  </si>
  <si>
    <t>Đá lát Granite xám, Mặt đốt chải, cạnh cưa, vạt mép 3mm, KT 100x100x3, Đóng gói 14V</t>
  </si>
  <si>
    <t>Đá lát Granite xám, Mặt đốt chải 2 lần, 1 cạnh dài bo tròn R=1.5cm đốt chải 2 lần, KT 100x35x3, Đóng gói 30V</t>
  </si>
  <si>
    <t>Đá lát Granite xám, Mặt đốt chải, cạnh cưa, vạt mép 3mm, KT 100x50x3, Đóng gói 24V</t>
  </si>
  <si>
    <t>Đá lát Granite xám, Mặt đốt chải 1 lần, cạnh cưa, vạt mép 3mm, KT 40x40x3, Đóng gói 100V</t>
  </si>
  <si>
    <t>Đá lát Granite xám, Mặt đốt chải, cạnh cưa, vạt mép 3mm, KT 50x50x2, Đóng gói 50V</t>
  </si>
  <si>
    <t>Đá lát Granite xám, Mặt đốt chải, cạnh cưa, vạt mép 3mm, KT 50x50x3, Đóng gói 34V</t>
  </si>
  <si>
    <t>Đá lát Granite xám, Mặt đốt chải, cạnh cưa, KT 60x40x2, Đóng gói 50V</t>
  </si>
  <si>
    <t>Đá lát Granite xám, Mặt đốt chải, cạnh cưa, KT 60x40x3, Đóng gói 34V</t>
  </si>
  <si>
    <t>Đá lát Granite xám, Mặt đốt chải 1 lần, cạnh cưa, vạt mép 3mm, KT 60x40x3, Đóng gói 68V</t>
  </si>
  <si>
    <t>Đá lát Granite xám, Mặt đốt chải 1 lần, cạnh cưa, vạt mép 3mm, KT 60x60x3, Đóng gói 34V</t>
  </si>
  <si>
    <t>Đá lát Granite xám, Mặt đốt chải 2 lần, cạnh cưa, KT 70x50x3, Đóng gói 34V</t>
  </si>
  <si>
    <t>Đá lát Granite xám, Mặt đốt chải 1 lần, cạnh cưa, vạt mép 3mm, KT 80x40x3, Đóng gói 52V</t>
  </si>
  <si>
    <t>Đá lát Granite xám, Mặt đốt chải 1 lần, cạnh cưa, vạt mép 3mm, KT 90x60x3, Đóng gói 25V</t>
  </si>
  <si>
    <t>Đá nắp tường rào Granite xám, Mặt đốt, 2 cạnh dài hon, 2 rãnh thoát nước dọc 2 cạnh dài 0.5x0.5cm cách mép 1.5cm, vạt mép 4 cạnh dài 3mm, KT 100x25x4, Đóng gói 25V</t>
  </si>
  <si>
    <t>Đá nắp tường rào Granite xám, Mặt đốt, 2 cạnh dài hon, 2 rãnh thoát nước dọc 2 cạnh dài 0.5x0.5cm cách mép 1.5cm, vạt mép 4 cạnh dài 3mm, KT 100x30x4, Đóng gói 25V</t>
  </si>
  <si>
    <t>Đá nắp tường rào Granite xám, Mặt đốt, 2 cạnh dài hon, 2 rãnh thoát nước dọc 2 cạnh dài 0.5x0.5cm cách mép 1.5cm, vạt mép 4 cạnh dài 3mm, KT 100x35x4, Đóng gói 25V</t>
  </si>
  <si>
    <t>Đá nắp tường rào Granite xám, Mặt đốt, 2 cạnh dài hon, 2 rãnh thoát nước dọc 2 cạnh dài 0.5x0.5cm cách mép 1.5cm, vạt mép 4 cạnh dài 3mm, KT 100x40x4, Đóng gói 25V</t>
  </si>
  <si>
    <t>Đá nắp tường rào Granite xám, Mặt đốt, cạnh đốt, đáy cưa, 4 rãnh thoát nước dọc theo cạnh 0.5x0.5cm cách mép 1.5cm, KT 55x55x10, Đóng gói 6V</t>
  </si>
  <si>
    <t>Đá nắp tường rào Granite xám, Mặt đốt, cạnh chẻ tay, đáy cưa, 4 rãnh thoát nước dọc theo cạnh 0.5x0.5cm cách mép 1.5cm, KT 55x55x8, Đóng gói 4V</t>
  </si>
  <si>
    <t>Đá nắp tường rào Granite xám, Mặt đốt, 2 cạnh dài hon, 2 rãnh thoát nước dọc 2 cạnh dài 0.5x0.5cm cách mép 1.5cm, vạt mép 4 cạnh dài 3mm, KT 60x30x3, Đóng gói 34V</t>
  </si>
  <si>
    <t>Đá nắp tường rào Granite xám, Mặt đốt, 2 cạnh dài hon, 2 rãnh thoát nước dọc 2 cạnh dài 0.5x0.5cm cách mép 1.5cm, vạt mép 4 cạnh dài 3mm, KT 60x35x3, Đóng gói 34V</t>
  </si>
  <si>
    <t>Đá ốp bậc thang Granite xám, Mặt đốt, 1 cạnh dài hon, vạt mép 3mm, KT 120x35x3, Đóng gói 25V</t>
  </si>
  <si>
    <t>Đá ốp bậc thang Granite xám, Mặt hon, cạnh cưa, KT 120x14.5x2, Đóng gói 50V</t>
  </si>
  <si>
    <t>Đá ốp bậc thang Granite xám, Mặt hon, cạnh cưa, KT 120x14.5x3, Đóng gói 50V</t>
  </si>
  <si>
    <t>Đá mỹ nghệ</t>
  </si>
  <si>
    <t>Nhóm mã gia công chính</t>
  </si>
  <si>
    <t>A</t>
  </si>
  <si>
    <t>O</t>
  </si>
  <si>
    <t>E</t>
  </si>
  <si>
    <t>Gia công khác</t>
  </si>
  <si>
    <t>Xẻ rãnh</t>
  </si>
  <si>
    <t>Cắt góc vuông</t>
  </si>
  <si>
    <t>Bo góc tròn</t>
  </si>
  <si>
    <t>Cắt chữ L</t>
  </si>
  <si>
    <t>Bo tròn 1 Cạnh</t>
  </si>
  <si>
    <t>Cắt vòng cung</t>
  </si>
  <si>
    <t>Cắt chữ U</t>
  </si>
  <si>
    <t>Bo cạnh và cắt chữ L</t>
  </si>
  <si>
    <t>Bo góc và cắt chữ L</t>
  </si>
  <si>
    <t>Khoan lỗ</t>
  </si>
  <si>
    <t>Hình trụ</t>
  </si>
  <si>
    <t>Hình chóp</t>
  </si>
  <si>
    <t>12,13,14</t>
  </si>
  <si>
    <t>BD010EAAAAB120</t>
  </si>
  <si>
    <t>4 cạnh chẻ tay</t>
  </si>
  <si>
    <t>KT 60x40x6</t>
  </si>
  <si>
    <t>Đáy cưa</t>
  </si>
  <si>
    <t>Mã Gia Công</t>
  </si>
  <si>
    <t>Mặt cưa</t>
  </si>
  <si>
    <t>Tẩy đẹp</t>
  </si>
  <si>
    <t>Mặt bóng</t>
  </si>
  <si>
    <t>Mài cát</t>
  </si>
  <si>
    <t>Ký hiệu</t>
  </si>
  <si>
    <t>6,7,8,9</t>
  </si>
  <si>
    <t>Mã gia công bề mặt-1 chữ cái</t>
  </si>
  <si>
    <t>Mã gia công bề cạnh-4 chữ cái/4 cạnh</t>
  </si>
  <si>
    <t>Mã gia công đáy-1 chữ cái</t>
  </si>
  <si>
    <t>Loại gia công khác - 1 chữ cái(không có để trống)</t>
  </si>
  <si>
    <r>
      <rPr>
        <b/>
        <sz val="11"/>
        <color theme="1"/>
        <rFont val="Calibri"/>
        <family val="2"/>
        <scheme val="minor"/>
      </rPr>
      <t>ĐÁ LÁT BAZAN ĐEN</t>
    </r>
    <r>
      <rPr>
        <sz val="11"/>
        <color theme="1"/>
        <rFont val="Calibri"/>
        <family val="2"/>
        <scheme val="minor"/>
      </rPr>
      <t>, MẶT ĐỐT, CẠNH CHẺ TAY, ĐÁY CƯA, KT 60x40x6</t>
    </r>
  </si>
  <si>
    <t>English</t>
  </si>
  <si>
    <t>Hướng dẫn ký hiệu mỏ nào hoặc là màu sắc vẫn nên ghi chú ra.</t>
  </si>
  <si>
    <t>Ghi chú trong thông tin của sản phẩm.</t>
  </si>
  <si>
    <t>5, 6, 7</t>
  </si>
  <si>
    <t>Mã phân biệt gia công phụ - 1 số</t>
  </si>
  <si>
    <t>9, 10, 11, 12</t>
  </si>
  <si>
    <t>Chiều dài - 4 số mm</t>
  </si>
  <si>
    <t>Chiều cao - 3 số mm</t>
  </si>
  <si>
    <t>-</t>
  </si>
  <si>
    <t>T</t>
  </si>
  <si>
    <t>Chiều dài 600mm</t>
  </si>
  <si>
    <t>BD01DOT2-06004060</t>
  </si>
  <si>
    <t>BX</t>
  </si>
  <si>
    <t>BD</t>
  </si>
  <si>
    <t>GX</t>
  </si>
  <si>
    <t>GT</t>
  </si>
  <si>
    <t>GV</t>
  </si>
  <si>
    <t>GD</t>
  </si>
  <si>
    <t>GH</t>
  </si>
  <si>
    <t>CUA</t>
  </si>
  <si>
    <t>CLO</t>
  </si>
  <si>
    <t>TDE</t>
  </si>
  <si>
    <t>DOT</t>
  </si>
  <si>
    <t>HON</t>
  </si>
  <si>
    <t>BON</t>
  </si>
  <si>
    <t>BAM</t>
  </si>
  <si>
    <t>GCT</t>
  </si>
  <si>
    <t>GCR</t>
  </si>
  <si>
    <t>MGI</t>
  </si>
  <si>
    <t>PCA</t>
  </si>
  <si>
    <t>MCA</t>
  </si>
  <si>
    <t>QME</t>
  </si>
  <si>
    <t>TLO</t>
  </si>
  <si>
    <t>CTA</t>
  </si>
  <si>
    <t>Stone</t>
  </si>
  <si>
    <t>Product</t>
  </si>
  <si>
    <t>L</t>
  </si>
  <si>
    <t>W</t>
  </si>
  <si>
    <t>H</t>
  </si>
  <si>
    <t>Packing</t>
  </si>
  <si>
    <t>Remark</t>
  </si>
  <si>
    <t>Bậc thang</t>
  </si>
  <si>
    <t>Bo vỉa hè</t>
  </si>
  <si>
    <t>Cubic</t>
  </si>
  <si>
    <t xml:space="preserve">Cubic </t>
  </si>
  <si>
    <t>(14x64, 18x64, 22x64)</t>
  </si>
  <si>
    <t>Nắp tường rào</t>
  </si>
  <si>
    <t>Ốp bậc thang</t>
  </si>
  <si>
    <t>Tường rào</t>
  </si>
  <si>
    <t>(19.5-19.5x44, 39.7-19.5x22, 40-40x44, 60-40x22)</t>
  </si>
  <si>
    <t>(20x20, 30x30, 40x30)</t>
  </si>
  <si>
    <t>(19.5-19.5x36, 39.7-19.5x18, 40-40x36, 60-40x18)</t>
  </si>
  <si>
    <t>(60-60x20, 60-29.7x10, 29.7-29.7x20)</t>
  </si>
  <si>
    <t>Len chân tường</t>
  </si>
  <si>
    <t>(30x10, 45x10, 60x10)</t>
  </si>
  <si>
    <t>(30x8, 45x7, 60x6)</t>
  </si>
  <si>
    <t>(30x20, 45x20, 60x20)</t>
  </si>
  <si>
    <t>Bo tường rào</t>
  </si>
  <si>
    <t>Tường rào (Đá khối, nắp tường rào, ốp tường rào)</t>
  </si>
  <si>
    <t>BD04DOT1-10003015</t>
  </si>
  <si>
    <t>BD04DOT2-10003015</t>
  </si>
  <si>
    <t>BD04DOT1-12503015</t>
  </si>
  <si>
    <t>BD04DOT1-15003015</t>
  </si>
  <si>
    <t>BD04DOT1-07503015</t>
  </si>
  <si>
    <t>BD04DOT1-10001080</t>
  </si>
  <si>
    <t>BD04DOT1-10001120</t>
  </si>
  <si>
    <t>BD04DOT1-10005080</t>
  </si>
  <si>
    <t>BD03DOT1-10002080</t>
  </si>
  <si>
    <t>BD04DOT3-10003150</t>
  </si>
  <si>
    <t>BD04DOT1-10003150</t>
  </si>
  <si>
    <t>BD04DOT2-10003150</t>
  </si>
  <si>
    <t>BD04DOT1-12003150</t>
  </si>
  <si>
    <t>BD04DOT1-12503150</t>
  </si>
  <si>
    <t>BD04DOT2-12503150</t>
  </si>
  <si>
    <t>BD04DOT1-15001120</t>
  </si>
  <si>
    <t>BD04DOT1-15003150</t>
  </si>
  <si>
    <t>BD04DOT2-15003150</t>
  </si>
  <si>
    <t>BD04DOT1-02003150</t>
  </si>
  <si>
    <t>BD04DOT1-03001120</t>
  </si>
  <si>
    <t>BD04DOT1-04001150</t>
  </si>
  <si>
    <t>BD04DOT1-05001120</t>
  </si>
  <si>
    <t>BD04DOT1-05003150</t>
  </si>
  <si>
    <t>BD04DOT1-07501120</t>
  </si>
  <si>
    <t>BD04DOT1-07503150</t>
  </si>
  <si>
    <t>BD04DOT1-08003150</t>
  </si>
  <si>
    <t>BD03CTA1-03001100</t>
  </si>
  <si>
    <t>BD01DOT1-02001050</t>
  </si>
  <si>
    <t>BD01DOT1-01001060</t>
  </si>
  <si>
    <t>BD01DOT1-01001080</t>
  </si>
  <si>
    <t>BD01DOT1-01501150</t>
  </si>
  <si>
    <t>BD01DOT1-01601140</t>
  </si>
  <si>
    <t>BD01DOT1-00505050</t>
  </si>
  <si>
    <t>BD01DOT1-00909080</t>
  </si>
  <si>
    <t>BD01CTA1-01001080</t>
  </si>
  <si>
    <t>BD01CTA1-01401080</t>
  </si>
  <si>
    <t>BD01CTA1-01401090</t>
  </si>
  <si>
    <t>BD01CTA1-02001085</t>
  </si>
  <si>
    <t>BD01CTA1-02001090</t>
  </si>
  <si>
    <t>BD01CTA1-04001150</t>
  </si>
  <si>
    <t>BD01CTA1-00909070</t>
  </si>
  <si>
    <t>BD03DOT2-10002100</t>
  </si>
  <si>
    <t>BD03DOT1-10002060</t>
  </si>
  <si>
    <t>BD03DOT1-10002100</t>
  </si>
  <si>
    <t>BD03DOT1-10005060</t>
  </si>
  <si>
    <t>BD03DOT1-10002070</t>
  </si>
  <si>
    <t>BD03DOT2-10002080</t>
  </si>
  <si>
    <t>BD03DOT1-10003070</t>
  </si>
  <si>
    <t>BD03DOT1-10003080</t>
  </si>
  <si>
    <t>BD03DOT1-10004100</t>
  </si>
  <si>
    <t>BD03DOT1-10005080</t>
  </si>
  <si>
    <t>BD03DOT1-12502080</t>
  </si>
  <si>
    <t>BD03DOT1-15002100</t>
  </si>
  <si>
    <t>BD03DOT1-15002080</t>
  </si>
  <si>
    <t>BD03DOT2-15002080</t>
  </si>
  <si>
    <t>BD03DOT1-15005080</t>
  </si>
  <si>
    <t>BD03DOT1-20002080</t>
  </si>
  <si>
    <t>BD03DOT2-20002080</t>
  </si>
  <si>
    <t>BD03DOT1-22005080</t>
  </si>
  <si>
    <t>BD03DOT1-02502080</t>
  </si>
  <si>
    <t>BD03DOT1-03502100</t>
  </si>
  <si>
    <t>BD03DOT1-05002100</t>
  </si>
  <si>
    <t>BD03DOT1-05005100</t>
  </si>
  <si>
    <t>BD03DOT1-05002070</t>
  </si>
  <si>
    <t>BD03DOT1-05002080</t>
  </si>
  <si>
    <t>BD03DOT1-06002060</t>
  </si>
  <si>
    <t>BD03DOT1-07502070</t>
  </si>
  <si>
    <t>BD03DOT1-07502080</t>
  </si>
  <si>
    <t>BD03CTA1-10001160</t>
  </si>
  <si>
    <t>BD03CTA1-10002080</t>
  </si>
  <si>
    <t>BD03CTA1-12001120</t>
  </si>
  <si>
    <t>BD03CTA1-04001120</t>
  </si>
  <si>
    <t>BD03CTA1-06001120</t>
  </si>
  <si>
    <t>BD03CTA1-09001120</t>
  </si>
  <si>
    <t>BD01DOT1-08004040</t>
  </si>
  <si>
    <t>BD01DOT1-01401060</t>
  </si>
  <si>
    <t>BD06DOT1-01501012</t>
  </si>
  <si>
    <t>BD01DOT1-02001030</t>
  </si>
  <si>
    <t>BD01DOT1-03501060</t>
  </si>
  <si>
    <t>BD01DOT1-06003030</t>
  </si>
  <si>
    <t>BD01DOT1-06004030</t>
  </si>
  <si>
    <t>BD01DOT1-06006030</t>
  </si>
  <si>
    <t>BD01DOT1-08003030</t>
  </si>
  <si>
    <t>BD01DOT1-08004030</t>
  </si>
  <si>
    <t>BD01DOT1-09004030</t>
  </si>
  <si>
    <t>BD01DOT1-09006030</t>
  </si>
  <si>
    <t>BD01DOT2-09006030</t>
  </si>
  <si>
    <t>BD08DOT1-22006030</t>
  </si>
  <si>
    <t>BD08DOT1-22006040</t>
  </si>
  <si>
    <t>BD08DOT1-22008030</t>
  </si>
  <si>
    <t>BD08DOT1-22008040</t>
  </si>
  <si>
    <t>BD08DOT2-22006040</t>
  </si>
  <si>
    <t>BD08DOT1-10003060</t>
  </si>
  <si>
    <t>BD02DOT1-07503040</t>
  </si>
  <si>
    <t>BD02DOT1-07505040</t>
  </si>
  <si>
    <t>BD02DOT1-07504040</t>
  </si>
  <si>
    <t>BD02DOT1-10006050</t>
  </si>
  <si>
    <t>BD02DOT1-10003040</t>
  </si>
  <si>
    <t>BD02DOT1-10002040</t>
  </si>
  <si>
    <t>BD02DOT1-10003030</t>
  </si>
  <si>
    <t>BD02DOT2-10003040</t>
  </si>
  <si>
    <t>BD02DOT1-10005030</t>
  </si>
  <si>
    <t>BD02DOT1-10005040</t>
  </si>
  <si>
    <t>BD02DOT1-10004040</t>
  </si>
  <si>
    <t>BD02DOT1-05005040</t>
  </si>
  <si>
    <t>BD02DOT1-05003040</t>
  </si>
  <si>
    <t>BD02DOT1-06003030</t>
  </si>
  <si>
    <t>BD02DOT1-06005030</t>
  </si>
  <si>
    <t>BD04DOT1-09004030</t>
  </si>
  <si>
    <t>BD04DOT1-12003030</t>
  </si>
  <si>
    <t>BD04DOT1-15003030</t>
  </si>
  <si>
    <t>BD04DOT1-20003030</t>
  </si>
  <si>
    <t>BD04HON1-12001030</t>
  </si>
  <si>
    <t>BD04HON1-15001030</t>
  </si>
  <si>
    <t>BD04HON1-20001030</t>
  </si>
  <si>
    <t>BD02DOT1-10002050</t>
  </si>
  <si>
    <t>BD02CUA1-02003150</t>
  </si>
  <si>
    <t>BL04GCT1-10003160</t>
  </si>
  <si>
    <t>BL04GCT1-12503160</t>
  </si>
  <si>
    <t>BL04MGI1-10003160</t>
  </si>
  <si>
    <t>BL04MGI1-12503160</t>
  </si>
  <si>
    <t>BL04MGI1-10003150</t>
  </si>
  <si>
    <t>BL04MGI1-15003150</t>
  </si>
  <si>
    <t>BL04MGI1-05003150</t>
  </si>
  <si>
    <t>BL01GCR1-01001050</t>
  </si>
  <si>
    <t>BL01GCR1-02001050</t>
  </si>
  <si>
    <t>BL09GCR1-01956020</t>
  </si>
  <si>
    <t>BL09GCR1-02002060</t>
  </si>
  <si>
    <t>BL09GCT1-01956025</t>
  </si>
  <si>
    <t>BL09GCT1-02976030</t>
  </si>
  <si>
    <t>BL03GCR1-06003050</t>
  </si>
  <si>
    <t>BL03GCT1-10001050</t>
  </si>
  <si>
    <t>BL03GCT1-10002050</t>
  </si>
  <si>
    <t>BL03GCT1-10002100</t>
  </si>
  <si>
    <t>BL03GCT1-10003050</t>
  </si>
  <si>
    <t>BL03GCT1-10005050</t>
  </si>
  <si>
    <t>BL03GCT1-12502100</t>
  </si>
  <si>
    <t>BL03GCT1-05002100</t>
  </si>
  <si>
    <t>BL03GCT1-07502100</t>
  </si>
  <si>
    <t>BL03MGI1-10001050</t>
  </si>
  <si>
    <t>BL03MGI1-10002050</t>
  </si>
  <si>
    <t>BL03MGI1-10005050</t>
  </si>
  <si>
    <t>BL03MGI1-10003050</t>
  </si>
  <si>
    <t>BL03MGI1-05002080</t>
  </si>
  <si>
    <t>BL03MGI1-07502080</t>
  </si>
  <si>
    <t>BL03MGI1-10002060</t>
  </si>
  <si>
    <t>BL03MGI1-10002080</t>
  </si>
  <si>
    <t>BL03MGI1-12502080</t>
  </si>
  <si>
    <t>BL03MGI1-15002080</t>
  </si>
  <si>
    <t>BL01GCR1-10012040</t>
  </si>
  <si>
    <t>BL01GCR1-10062040</t>
  </si>
  <si>
    <t>BL06GCR1-01501012</t>
  </si>
  <si>
    <t>BL06GCR1-02002020</t>
  </si>
  <si>
    <t>BL01GCR1-02002025</t>
  </si>
  <si>
    <t>BL01GCR1-02002050</t>
  </si>
  <si>
    <t>BL01GCR1-02005025</t>
  </si>
  <si>
    <t>BL01GCR1-02005050</t>
  </si>
  <si>
    <t>BL01GCR1-02508050</t>
  </si>
  <si>
    <t>BL01GCR1-03003025</t>
  </si>
  <si>
    <t>BL01GCR1-04004025</t>
  </si>
  <si>
    <t>BL01GCR1-05032040</t>
  </si>
  <si>
    <t>BL01GCR1-05005025</t>
  </si>
  <si>
    <t>BL06GCR1-06003020</t>
  </si>
  <si>
    <t>BL01GCR1-06003030</t>
  </si>
  <si>
    <t>BL06GCR1-06004020</t>
  </si>
  <si>
    <t>BL01GCR1-06004025</t>
  </si>
  <si>
    <t>BL01GCR1-06004030</t>
  </si>
  <si>
    <t>BL06GCR1-06006020</t>
  </si>
  <si>
    <t>BL01GCR1-06006025</t>
  </si>
  <si>
    <t>BL06GCR1-06257020</t>
  </si>
  <si>
    <t>BL01GCR1-07282040</t>
  </si>
  <si>
    <t>BL01GCR1-07542040</t>
  </si>
  <si>
    <t>BL01GCR1-08004030</t>
  </si>
  <si>
    <t>BL01GCR1-08852040</t>
  </si>
  <si>
    <t>BL01GCR1-09006025</t>
  </si>
  <si>
    <t>BL01GCR1-09006030</t>
  </si>
  <si>
    <t>BL01GCR1-09532040</t>
  </si>
  <si>
    <t>BL01DOT1-06003030</t>
  </si>
  <si>
    <t>BL01DOT1-06004030</t>
  </si>
  <si>
    <t>BL06MGI1-02002030</t>
  </si>
  <si>
    <t>BL06MGI1-04002020</t>
  </si>
  <si>
    <t>BL06MGI1-04004020</t>
  </si>
  <si>
    <t>BL01MGI1-04004025</t>
  </si>
  <si>
    <t>BL01MGI1-05005025</t>
  </si>
  <si>
    <t>BL06MGI1-06004020</t>
  </si>
  <si>
    <t>BL01MGI1-06004025</t>
  </si>
  <si>
    <t>BL01MGI1-06006025</t>
  </si>
  <si>
    <t>BL06GCR1-04004020</t>
  </si>
  <si>
    <t>BL01MCA1-03003025</t>
  </si>
  <si>
    <t>BL01MCA1-04004025</t>
  </si>
  <si>
    <t>BL06MCA1-04004020</t>
  </si>
  <si>
    <t>BL06QME2-01501020</t>
  </si>
  <si>
    <t>BL01QME1-01501025</t>
  </si>
  <si>
    <t>BL01QME1-02002050</t>
  </si>
  <si>
    <t>BL01QME1-02005050</t>
  </si>
  <si>
    <t>BL01QME1-02408050</t>
  </si>
  <si>
    <t>BL06QME1-01501020</t>
  </si>
  <si>
    <t>BL01QME1-01501040</t>
  </si>
  <si>
    <t>BL01QME1-01501050</t>
  </si>
  <si>
    <t>BL01QME1-02002025</t>
  </si>
  <si>
    <t>BL01TLO1-02005050</t>
  </si>
  <si>
    <t>BL06MGI1-10604050</t>
  </si>
  <si>
    <t>BL06MGI1-10932050</t>
  </si>
  <si>
    <t>BL02MGI1-10002030</t>
  </si>
  <si>
    <t>BL02MGI1-10003030</t>
  </si>
  <si>
    <t>BL02MGI2-10003030</t>
  </si>
  <si>
    <t>BL02MGI1-10005030</t>
  </si>
  <si>
    <t>BL02MGI1-10003040</t>
  </si>
  <si>
    <t>BL02MGI1-10004030</t>
  </si>
  <si>
    <t>BL02MGI1-12003030</t>
  </si>
  <si>
    <t>BL02MGI1-12005030</t>
  </si>
  <si>
    <t>BX04DOT1-10003160</t>
  </si>
  <si>
    <t>BX04DOT1-10003150</t>
  </si>
  <si>
    <t>BX04DOT1-12503160</t>
  </si>
  <si>
    <t>BX04DOT1-15003160</t>
  </si>
  <si>
    <t>BX04DOT1-18003110</t>
  </si>
  <si>
    <t>BX04DOT1-20003150</t>
  </si>
  <si>
    <t>BX03CTA1-03001100</t>
  </si>
  <si>
    <t>BX01DOT1-01601120</t>
  </si>
  <si>
    <t>BX01DOT1-01401050</t>
  </si>
  <si>
    <t>BX01DOT1-01401080</t>
  </si>
  <si>
    <t>BX01DOT1-01601070</t>
  </si>
  <si>
    <t>BX01CTA1-01001080</t>
  </si>
  <si>
    <t>BX01CTA1-01001085</t>
  </si>
  <si>
    <t>BX01CTA1-01001090</t>
  </si>
  <si>
    <t>BX01CTA1-01401040</t>
  </si>
  <si>
    <t>BX01CTA1-01401080</t>
  </si>
  <si>
    <t>BX01CTA1-01601160</t>
  </si>
  <si>
    <t>BX01CTA1-01909090</t>
  </si>
  <si>
    <t>BX01CTA1-02001100</t>
  </si>
  <si>
    <t>BX01CTA1-02001085</t>
  </si>
  <si>
    <t>BX01CTA1-02001090</t>
  </si>
  <si>
    <t>BX01CTA1-02002200</t>
  </si>
  <si>
    <t>BX01CTA1-02909090</t>
  </si>
  <si>
    <t>BX01CTA1-03003300</t>
  </si>
  <si>
    <t>BX01CTA1-04004400</t>
  </si>
  <si>
    <t>BX01CTA1-05005500</t>
  </si>
  <si>
    <t>BX01CTA1-00505050</t>
  </si>
  <si>
    <t>BX01CTA1-00909045</t>
  </si>
  <si>
    <t>BX01CTA1-00909090</t>
  </si>
  <si>
    <t>BX01CTA2-00909090</t>
  </si>
  <si>
    <t>BX01CTA1-03005050</t>
  </si>
  <si>
    <t>BX03DOT1-10002080</t>
  </si>
  <si>
    <t>BX03DOT1-12502080</t>
  </si>
  <si>
    <t>BX03DOT1-15002080</t>
  </si>
  <si>
    <t>BX03DOT1-05003080</t>
  </si>
  <si>
    <t>BX03DOT1-15509070</t>
  </si>
  <si>
    <t>BX03DOT1-15551050</t>
  </si>
  <si>
    <t>BX03DOT1-15553040</t>
  </si>
  <si>
    <t>BX03DOT1-15501050</t>
  </si>
  <si>
    <t>BX03DOT1-15503040</t>
  </si>
  <si>
    <t>BX03DOT1-03501050</t>
  </si>
  <si>
    <t>BX03DOT1-07502080</t>
  </si>
  <si>
    <t>BX03DOT1-09001120</t>
  </si>
  <si>
    <t>BX03DOT1-06001100</t>
  </si>
  <si>
    <t>BX03CTA1-10002080</t>
  </si>
  <si>
    <t>BX03CLO1-10001120</t>
  </si>
  <si>
    <t>BX03CLO1-10002060</t>
  </si>
  <si>
    <t>BX03CLO1-10002070</t>
  </si>
  <si>
    <t>BX03CLO1-10002080</t>
  </si>
  <si>
    <t>BX03CLO1-10002100</t>
  </si>
  <si>
    <t>BX03CLO1-10002250</t>
  </si>
  <si>
    <t>BX03CLO1-10005080</t>
  </si>
  <si>
    <t>BX03CLO1-10003100</t>
  </si>
  <si>
    <t>BX03CLO1-15001120</t>
  </si>
  <si>
    <t>BX03CLO1-15002100</t>
  </si>
  <si>
    <t>BX03CLO1-17502250</t>
  </si>
  <si>
    <t>BX03CLO1-19003350</t>
  </si>
  <si>
    <t>BX03CLO1-20002100</t>
  </si>
  <si>
    <t>BX03CLO1-02501120</t>
  </si>
  <si>
    <t>BX03CLO1-03501120</t>
  </si>
  <si>
    <t>BX03CLO1-05001120</t>
  </si>
  <si>
    <t>BX03CLO1-05002100</t>
  </si>
  <si>
    <t>BX03CLO1-05002250</t>
  </si>
  <si>
    <t>BX03CLO1-07005500</t>
  </si>
  <si>
    <t>BX03CLO1-07501120</t>
  </si>
  <si>
    <t>BX03CLO1-07502100</t>
  </si>
  <si>
    <t>BX03CLO1-07502250</t>
  </si>
  <si>
    <t>BX03CLO1-01002120</t>
  </si>
  <si>
    <t>BX03DOT1-12142102</t>
  </si>
  <si>
    <t>BX03DOT1-13213080</t>
  </si>
  <si>
    <t>BX03DOT1-06104050</t>
  </si>
  <si>
    <t>BX01DOT1-10005030</t>
  </si>
  <si>
    <t>BX01DOT1-10416040</t>
  </si>
  <si>
    <t>BX01DOT1-10676050</t>
  </si>
  <si>
    <t>BX01DOT1-10676040</t>
  </si>
  <si>
    <t>BX01DOT1-01207030</t>
  </si>
  <si>
    <t>BX01DOT1-12143030</t>
  </si>
  <si>
    <t>BX01DOT1-12144030</t>
  </si>
  <si>
    <t>BX01DOT1-12146030</t>
  </si>
  <si>
    <t>BX01DOT1-12147030</t>
  </si>
  <si>
    <t>BX01DOT1-12196080</t>
  </si>
  <si>
    <t>BX01DOT1-14956080</t>
  </si>
  <si>
    <t>BX01DOT1-15246100</t>
  </si>
  <si>
    <t>BX01DOT1-15246040</t>
  </si>
  <si>
    <t>BX06DOT1-02006020</t>
  </si>
  <si>
    <t>BX01DOT1-03003030</t>
  </si>
  <si>
    <t>BX01DOT1-03763030</t>
  </si>
  <si>
    <t>BX01DOT1-03901060</t>
  </si>
  <si>
    <t>BX01DOT1-04182030</t>
  </si>
  <si>
    <t>BX01DOT1-04183030</t>
  </si>
  <si>
    <t>BX06DOT1-04579020</t>
  </si>
  <si>
    <t>BX01DOT1-04579040</t>
  </si>
  <si>
    <t>BX01DOT1-04579030</t>
  </si>
  <si>
    <t>BX01DOT1-05005040</t>
  </si>
  <si>
    <t>BX01DOT1-06003030</t>
  </si>
  <si>
    <t>BX01DOT1-06006030</t>
  </si>
  <si>
    <t>BX06DOT1-12196020</t>
  </si>
  <si>
    <t>BX01DOT1-12196040</t>
  </si>
  <si>
    <t>BX06DOT1-06104015</t>
  </si>
  <si>
    <t>BX01DOT1-06104030</t>
  </si>
  <si>
    <t>BX01DOT1-06332030</t>
  </si>
  <si>
    <t>BX01DOT1-06333030</t>
  </si>
  <si>
    <t>BX01DOT1-07196030</t>
  </si>
  <si>
    <t>BX01DOT1-07484050</t>
  </si>
  <si>
    <t>BX01DOT1-09101030</t>
  </si>
  <si>
    <t>BX01DOT1-09106030</t>
  </si>
  <si>
    <t>BX01DOT1-09535050</t>
  </si>
  <si>
    <t>BX01DOT1-09537050</t>
  </si>
  <si>
    <t>BX01DOT1-09954050</t>
  </si>
  <si>
    <t>BX06DOT1-02002020</t>
  </si>
  <si>
    <t>BX01DOT1-03003060</t>
  </si>
  <si>
    <t>BX01DOT1-06003060</t>
  </si>
  <si>
    <t>BX01DOT1-06004060</t>
  </si>
  <si>
    <t>BX01DOT1-09004060</t>
  </si>
  <si>
    <t>BX01DOT1-01277050</t>
  </si>
  <si>
    <t>BX06HON1-10674020</t>
  </si>
  <si>
    <t>BX06HON1-11371020</t>
  </si>
  <si>
    <t>BX06HON1-11372020</t>
  </si>
  <si>
    <t>BX06HON1-11621020</t>
  </si>
  <si>
    <t>BX06HON1-11622020</t>
  </si>
  <si>
    <t>BX06HON1-12892020</t>
  </si>
  <si>
    <t>BX06HON1-13142020</t>
  </si>
  <si>
    <t>BX06HON1-14891020</t>
  </si>
  <si>
    <t>BX06HON1-15141020</t>
  </si>
  <si>
    <t>BX06HON1-16412020</t>
  </si>
  <si>
    <t>BX06HON1-16672020</t>
  </si>
  <si>
    <t>BX06HON1-02006020</t>
  </si>
  <si>
    <t>BX06HON1-03053012</t>
  </si>
  <si>
    <t>BX06HON1-06102015</t>
  </si>
  <si>
    <t>BX06HON1-06107015</t>
  </si>
  <si>
    <t>BX06HON1-06103012</t>
  </si>
  <si>
    <t>BX06HON1-06103015</t>
  </si>
  <si>
    <t>BX06HON1-06105015</t>
  </si>
  <si>
    <t>BX06HON1-06104015</t>
  </si>
  <si>
    <t>BX06HON1-06106015</t>
  </si>
  <si>
    <t>BX06HON1-08134020</t>
  </si>
  <si>
    <t>BX06HON1-08645020</t>
  </si>
  <si>
    <t>BX06HON1-09144020</t>
  </si>
  <si>
    <t>BX06HON1-09153015</t>
  </si>
  <si>
    <t>BX06PCA1-02006020</t>
  </si>
  <si>
    <t>BX06BAM1-02006020</t>
  </si>
  <si>
    <t>BX01DOT1-15491030</t>
  </si>
  <si>
    <t>BX01DOT1-08291030</t>
  </si>
  <si>
    <t>BX08HON1-16008020</t>
  </si>
  <si>
    <t>BX08HON1-20006020</t>
  </si>
  <si>
    <t>BX01CUA1-05006030</t>
  </si>
  <si>
    <t>BX07DOT1-04008012</t>
  </si>
  <si>
    <t>BX07DOT1-05008020</t>
  </si>
  <si>
    <t>BX07DOT1-06008012</t>
  </si>
  <si>
    <t>BX07DOT1-06508020</t>
  </si>
  <si>
    <t>BX07DOT1-08008012</t>
  </si>
  <si>
    <t>BX07DOT1-08008020</t>
  </si>
  <si>
    <t>BX02DOT1-10002030</t>
  </si>
  <si>
    <t>BX02DOT1-16002030</t>
  </si>
  <si>
    <t>BX02DOT1-05002030</t>
  </si>
  <si>
    <t>BX04DOT1-14203020</t>
  </si>
  <si>
    <t>BX04DOT1-14208020</t>
  </si>
  <si>
    <t>BX04DOT1-15801020</t>
  </si>
  <si>
    <t>BX04DOT1-14203030</t>
  </si>
  <si>
    <t>BX04DOT1-14207030</t>
  </si>
  <si>
    <t>BX04DOT1-14506030</t>
  </si>
  <si>
    <t>BX04DOT1-04805030</t>
  </si>
  <si>
    <t>BX02CTA1-03501150</t>
  </si>
  <si>
    <t>BX02CTA1-04002100</t>
  </si>
  <si>
    <t>BX02CTA09-03002150</t>
  </si>
  <si>
    <t>BX02CTA09-03002225</t>
  </si>
  <si>
    <t>BX02CTA09-03002075</t>
  </si>
  <si>
    <t>GD01CTA1-00909090</t>
  </si>
  <si>
    <t>GD01TDE1-01909090</t>
  </si>
  <si>
    <t>GD01TDE1-02909090</t>
  </si>
  <si>
    <t>GD01TDE1-00909045</t>
  </si>
  <si>
    <t>GD01TDE1-00909090</t>
  </si>
  <si>
    <t>GD01BAM1-01401060</t>
  </si>
  <si>
    <t>GD03DOT1-09001120</t>
  </si>
  <si>
    <t>GD01DOT1-03003030</t>
  </si>
  <si>
    <t>GD01DOT1-06003030</t>
  </si>
  <si>
    <t>GD01DOT1-06004030</t>
  </si>
  <si>
    <t>GD01DOT1-09004030</t>
  </si>
  <si>
    <t>GH01TDE1-01909090</t>
  </si>
  <si>
    <t>GH01TDE1-00909090</t>
  </si>
  <si>
    <t>GH03BAM1-09001100</t>
  </si>
  <si>
    <t>GT01CTA1-01001070</t>
  </si>
  <si>
    <t>GT01CTA1-02001070</t>
  </si>
  <si>
    <t>GT01CTA1-01909090</t>
  </si>
  <si>
    <t>GT01CTA1-00909090</t>
  </si>
  <si>
    <t>GT01TDE1-01909090</t>
  </si>
  <si>
    <t>GT01TDE1-02909090</t>
  </si>
  <si>
    <t>GT01TDE1-00909050</t>
  </si>
  <si>
    <t>GT01TDE1-00909090</t>
  </si>
  <si>
    <t>GT01TDE1-00909030</t>
  </si>
  <si>
    <t>GT03TDE1-18001120</t>
  </si>
  <si>
    <t>GT03TDE1-06001100</t>
  </si>
  <si>
    <t>GT03TDE1-06001120</t>
  </si>
  <si>
    <t>GT03TDE1-06009090</t>
  </si>
  <si>
    <t>GT03TDE1-09001100</t>
  </si>
  <si>
    <t>GT03TDE1-09005100</t>
  </si>
  <si>
    <t>GT03TDE1-09001120</t>
  </si>
  <si>
    <t>GT03BAM1-18002100</t>
  </si>
  <si>
    <t>GT03BAM1-18002120</t>
  </si>
  <si>
    <t>GT03BAM1-09001100</t>
  </si>
  <si>
    <t>GT03DOT1-06001100</t>
  </si>
  <si>
    <t>GT01TDE1-03003060</t>
  </si>
  <si>
    <t>GT01TDE1-06003050</t>
  </si>
  <si>
    <t>GT01TDE1-06003060</t>
  </si>
  <si>
    <t>GT01TDE1-06004060</t>
  </si>
  <si>
    <t>GT01TDE1-08004060</t>
  </si>
  <si>
    <t>GT01TDE1-09004070</t>
  </si>
  <si>
    <t>GT01BAM1-09004060</t>
  </si>
  <si>
    <t>GT01TDE1-04004070</t>
  </si>
  <si>
    <t>GV04BAM1-04503300</t>
  </si>
  <si>
    <t>GV03CTA-03001100</t>
  </si>
  <si>
    <t>GV01CTA1-02001070</t>
  </si>
  <si>
    <t>GV01TDE1-01909090</t>
  </si>
  <si>
    <t>GV01TDE1-02909090</t>
  </si>
  <si>
    <t>GV01TDE1-00909045</t>
  </si>
  <si>
    <t>GV01TDE1-00909090</t>
  </si>
  <si>
    <t>GV03TDE1-15003070</t>
  </si>
  <si>
    <t>GV03TDE1-18003070</t>
  </si>
  <si>
    <t>GV03TDE1-21003070</t>
  </si>
  <si>
    <t>GV03TDE1-18001120</t>
  </si>
  <si>
    <t>GV03TDE1-05001100</t>
  </si>
  <si>
    <t>GV03TDE1-06001100</t>
  </si>
  <si>
    <t>GV03TDE1-06001120</t>
  </si>
  <si>
    <t>GV03TDE1-06009090</t>
  </si>
  <si>
    <t>GV03TDE1-09001100</t>
  </si>
  <si>
    <t>GV03TDE1-09001120</t>
  </si>
  <si>
    <t>GV03CLO1-10002100</t>
  </si>
  <si>
    <t>GV03CLO2-10002100</t>
  </si>
  <si>
    <t>GV03CLO1-12502100</t>
  </si>
  <si>
    <t>GV03CLO1-15002100</t>
  </si>
  <si>
    <t>GV03CLO2-15002100</t>
  </si>
  <si>
    <t>GV03CLO1-20002100</t>
  </si>
  <si>
    <t>GV03CLO1-25002100</t>
  </si>
  <si>
    <t>GV03CLO1-05002100</t>
  </si>
  <si>
    <t>GV03CLO1-07502100</t>
  </si>
  <si>
    <t>GV03BAM1-09001100</t>
  </si>
  <si>
    <t>GV01TDE1-03003060</t>
  </si>
  <si>
    <t>GV01TDE1-06003060</t>
  </si>
  <si>
    <t>GV01TDE1-06003070</t>
  </si>
  <si>
    <t>GV01TDE1-06004060</t>
  </si>
  <si>
    <t>GV01TDE1-09004070</t>
  </si>
  <si>
    <t>GV01BAM1-09004070</t>
  </si>
  <si>
    <t>GV01BAM1-09006080</t>
  </si>
  <si>
    <t>GV01DOT1-03003030</t>
  </si>
  <si>
    <t>GV01BAM1-04505080</t>
  </si>
  <si>
    <t>GX04TDE1-20003150</t>
  </si>
  <si>
    <t>GX04DOT1-10003160</t>
  </si>
  <si>
    <t>GX04DOT2-10003150</t>
  </si>
  <si>
    <t>GX04DOT1-10003150</t>
  </si>
  <si>
    <t>GX04DOT1-12003150</t>
  </si>
  <si>
    <t>GX04DOT1-12503160</t>
  </si>
  <si>
    <t>GX04DOT1-15003160</t>
  </si>
  <si>
    <t>GX04DOT1-15003150</t>
  </si>
  <si>
    <t>GX04DOT2-15003150</t>
  </si>
  <si>
    <t>GX04DOT1-06003150</t>
  </si>
  <si>
    <t>GX04DOT1-08003150</t>
  </si>
  <si>
    <t>GX02DOT-06002060</t>
  </si>
  <si>
    <t>GX01CTA1-01909090</t>
  </si>
  <si>
    <t>GX01CTA1-00909050</t>
  </si>
  <si>
    <t>GX01CTA1-00909090</t>
  </si>
  <si>
    <t>GX01TDE1-01909090</t>
  </si>
  <si>
    <t>GX01TDE1-02909090</t>
  </si>
  <si>
    <t>GX01DOT1-01001030</t>
  </si>
  <si>
    <t>GX01DOT1-01001060</t>
  </si>
  <si>
    <t>GX01TDE1-06003060</t>
  </si>
  <si>
    <t>GX03TDE1-06004060</t>
  </si>
  <si>
    <t>GX03DOT1-10002080</t>
  </si>
  <si>
    <t>GX03DOT1-10002100</t>
  </si>
  <si>
    <t>GX03DOT1-10002060</t>
  </si>
  <si>
    <t>GX03DOT1-10005080</t>
  </si>
  <si>
    <t>GX03DOT1-12002080</t>
  </si>
  <si>
    <t>GX03DOT1-12002100</t>
  </si>
  <si>
    <t>GX03DOT2-12002100</t>
  </si>
  <si>
    <t>GX03DOT1-02502080</t>
  </si>
  <si>
    <t>GX03DOT1-15002100</t>
  </si>
  <si>
    <t>GX03DOT1-15002080</t>
  </si>
  <si>
    <t>GX03DOT1-18002100</t>
  </si>
  <si>
    <t>GX03DOT1-20002100</t>
  </si>
  <si>
    <t>GX03DOT1-25002100</t>
  </si>
  <si>
    <t>GX03DOT1-04002400</t>
  </si>
  <si>
    <t>GX03DOT1-05002080</t>
  </si>
  <si>
    <t>GX03DOT1-06002100</t>
  </si>
  <si>
    <t>GX03DOT2-06002100</t>
  </si>
  <si>
    <t>GX03DOT1-07502080</t>
  </si>
  <si>
    <t>GX03DOT1-08002100</t>
  </si>
  <si>
    <t>GX01DOT1-10001030</t>
  </si>
  <si>
    <t>GX01DOT1-10003030</t>
  </si>
  <si>
    <t>GX01DOT1-10005030</t>
  </si>
  <si>
    <t>GX01DOT1-04004030</t>
  </si>
  <si>
    <t>GX06DOT1-05005020</t>
  </si>
  <si>
    <t>GX01DOT1-05005030</t>
  </si>
  <si>
    <t>GX06DOT1-06004020</t>
  </si>
  <si>
    <t>GX01DOT1-06004030</t>
  </si>
  <si>
    <t>GX01DOT2-06004030</t>
  </si>
  <si>
    <t>GX01DOT1-06006030</t>
  </si>
  <si>
    <t>GX01DOT1-07005030</t>
  </si>
  <si>
    <t>GX01DOT1-08004030</t>
  </si>
  <si>
    <t>GX01DOT1-09006030</t>
  </si>
  <si>
    <t>GX02DOT1-10002040.</t>
  </si>
  <si>
    <t>GX02DOT1-10003040</t>
  </si>
  <si>
    <t>GX02DOT1-10005040</t>
  </si>
  <si>
    <t>GX02DOT1-10004040</t>
  </si>
  <si>
    <t>GX02DOT1-05505100</t>
  </si>
  <si>
    <t>GX02DOT1-05505080</t>
  </si>
  <si>
    <t>GX02DOT1-06003030</t>
  </si>
  <si>
    <t>GX02DOT1-06005030</t>
  </si>
  <si>
    <t>GX04DOT1-12003030</t>
  </si>
  <si>
    <t>GX04HON1-12001020</t>
  </si>
  <si>
    <t>GX04HON1-12001030</t>
  </si>
  <si>
    <t>Product Code</t>
  </si>
  <si>
    <t>BAZAN ĐEN</t>
  </si>
  <si>
    <t>BAZAN XÁM</t>
  </si>
  <si>
    <t>BLUESTONE</t>
  </si>
  <si>
    <t>GRANITE ĐỎ</t>
  </si>
  <si>
    <t>GRANITE HỒNG</t>
  </si>
  <si>
    <t>GRANITE TRẮNG</t>
  </si>
  <si>
    <t>GRANITE VÀNG</t>
  </si>
  <si>
    <t>GRANITE XÁM</t>
  </si>
  <si>
    <t>BAZAN ĐEN, Bậc thang-5 mặt đốt xịt nước, vạt mép 3mm KT 100x35x15 SL:10 v/k</t>
  </si>
  <si>
    <t>BAZAN ĐEN, Bậc thang-5 mặt đốt xịt nước, vạt mép 3mm KT 100x35x15 SL:5 v/k</t>
  </si>
  <si>
    <t>BAZAN ĐEN, Bậc thang-5 mặt đốt xịt nước, vạt mép 3mm KT 125x35x15 SL:8 v/k</t>
  </si>
  <si>
    <t>BAZAN ĐEN, Bậc thang-5 mặt đốt xịt nước, vạt mép 3mm KT 150x35x15 SL:6 v/k</t>
  </si>
  <si>
    <t>BAZAN ĐEN, Bậc thang-5 mặt đốt xịt nước, vạt mép 3mm KT 75x35x15 SL:10 v/k</t>
  </si>
  <si>
    <t>BAZAN ĐEN, Bậc thang-6 mặt đốt xịt nước, vạt mép cạnh dài 5mm, vạt mép cạnh ngắn 3mm KT 100x10x8 SL:42 v/k</t>
  </si>
  <si>
    <t>BAZAN ĐEN, Bậc thang-6 mặt đốt xịt nước, vạt mép 3mm KT 100x12x12 SL:32 v/k</t>
  </si>
  <si>
    <t>BAZAN ĐEN, Bậc thang-6 mặt đốt xịt nước, vạt mép cạnh dài 5mm, vạt mép cạnh ngắn 3mm KT 100x15x8 SL:12 v/k</t>
  </si>
  <si>
    <t>BAZAN ĐEN, Đá cây-6 mặt đốt xịt nước, vạt mép cạnh dài 5mm, vạt mép cạnh ngắn 3mm KT 100x20x8 SL:20 v/k</t>
  </si>
  <si>
    <t>BAZAN ĐEN, Bậc thang-6 mặt đốt xịt nước, vạt mép cạnh dài 5mm, vạt mép cạnh ngắn 3mm KT 100x35x15 SL:10 v/k</t>
  </si>
  <si>
    <t>BAZAN ĐEN, Bậc thang-6 mặt đốt xịt nước, vạt mép cạnh dài 5mm, vạt mép cạnh ngắn 3mm KT 100x35x15 SL:5 v/k</t>
  </si>
  <si>
    <t>BAZAN ĐEN, Bậc thang-6 mặt đốt xịt nước, vạt mép cạnh dài 5mm, vạt mép cạnh ngắn 3mm KT 100x35x15 SL:8 v/k</t>
  </si>
  <si>
    <t>BAZAN ĐEN, Bậc thang-6 mặt đốt xịt nước, vạt mép cạnh dài 5mm, vạt mép cạnh ngắn 3mm KT 120x35x15 SL:8 v/k</t>
  </si>
  <si>
    <t>BAZAN ĐEN, Bậc thang-6 mặt đốt xịt nước, vạt mép cạnh dài 5mm, vạt mép cạnh ngắn 3mm KT 125x35x15 SL:5 v/k</t>
  </si>
  <si>
    <t>BAZAN ĐEN, Bậc thang-6 mặt đốt xịt nước, vạt mép cạnh dài 5mm, vạt mép cạnh ngắn 3mm KT 125x35x15 SL:6 v/k</t>
  </si>
  <si>
    <t>BAZAN ĐEN, Bậc thang-6 mặt đốt xịt nước, vạt mép 3mm KT 150x12x12 SL:24 v/k</t>
  </si>
  <si>
    <t>BAZAN ĐEN, Bậc thang-6 mặt đốt xịt nước, vạt mép cạnh dài 5mm, vạt mép cạnh ngắn 3mm KT 150x35x15 SL:5 v/k</t>
  </si>
  <si>
    <t>BAZAN ĐEN, Bậc thang-6 mặt đốt xịt nước, vạt mép cạnh dài 5mm, vạt mép cạnh ngắn 3mm KT 150x35x15 SL:6 v/k</t>
  </si>
  <si>
    <t>BAZAN ĐEN, Bậc thang-6 mặt đốt xịt nước, vạt mép cạnh dài 5mm, vạt mép cạnh ngắn 3mm KT 20x35x15 SL:40 v/k</t>
  </si>
  <si>
    <t>BAZAN ĐEN, Bậc thang-6 mặt đốt xịt nước, vạt mép 3mm KT 30x12x12 SL:120 v/k</t>
  </si>
  <si>
    <t>BAZAN ĐEN, Bậc thang-6 mặt đốt xịt nước, vạt mép cạnh dài 5mm, vạt mép cạnh ngắn 3mm KT 40x18x15 SL:40 v/k</t>
  </si>
  <si>
    <t>BAZAN ĐEN, Bậc thang-6 mặt đốt xịt nước, vạt mép 3mm KT 50x12x12 SL:64 v/k</t>
  </si>
  <si>
    <t>BAZAN ĐEN, Bậc thang-6 mặt đốt xịt nước, vạt mép cạnh dài 5mm, vạt mép cạnh ngắn 3mm KT 50x35x15 SL:10 v/k</t>
  </si>
  <si>
    <t>BAZAN ĐEN, Bậc thang-6 mặt đốt xịt nước, vạt mép 3mm KT 75x12x12 SL:45 v/k</t>
  </si>
  <si>
    <t>BAZAN ĐEN, Bậc thang-6 mặt đốt xịt nước, vạt mép cạnh dài 5mm, vạt mép cạnh ngắn 3mm KT 75x35x15 SL:10 v/k</t>
  </si>
  <si>
    <t>BAZAN ĐEN, Bậc thang-6 mặt đốt xịt nước, vạt mép cạnh dài 5mm, vạt mép cạnh ngắn 3mm KT 80x35x15 SL:10 v/k</t>
  </si>
  <si>
    <t>BAZAN ĐEN, Bo vỉa hè-Chẻ tay tự nhiên KT 30x15x10 SL:126 v/k</t>
  </si>
  <si>
    <t>BAZAN ĐEN, Cubic-Mặt đốt xịt nước, cạnh cưa, vạt mép 3mm KT 20x10x5 SL:400 v/k</t>
  </si>
  <si>
    <t>BAZAN ĐEN, Cubic-Mặt đốt xịt nước, cạnh chẻ tay, đáy cưa KT 10x10x6 SL:900 v/k</t>
  </si>
  <si>
    <t>BAZAN ĐEN, Cubic-Mặt đốt xịt nước, cạnh chẻ tay, đáy cưa KT 10x10x8 SL:700 v/k</t>
  </si>
  <si>
    <t>BAZAN ĐEN, Cubic-Mặt đốt xịt nước, cạnh chẻ tay, đáy cưa KT 15x15x15 SL:144 v/k</t>
  </si>
  <si>
    <t>BAZAN ĐEN, Cubic-Mặt đốt xịt nước, cạnh chẻ tay, đáy cưa KT 16x16x14 SL:144 v/k</t>
  </si>
  <si>
    <t>BAZAN ĐEN, Cubic -Mặt đốt xịt nước, cạnh chẻ tay, đáy cưa KT 5x5x5 SL:4000 v/k</t>
  </si>
  <si>
    <t>BAZAN ĐEN, Cubic-Mặt đốt xịt nước, cạnh chẻ tay, đáy cưa KT 9x9x8 SL:726 v/k</t>
  </si>
  <si>
    <t>BAZAN ĐEN, Cubic-Chẻ tay tự nhiên KT 10x10x8 SL:700 v/k</t>
  </si>
  <si>
    <t>BAZAN ĐEN, Cubic-Chẻ tay tự nhiên KT 14x14x8 SL:7700 v/k</t>
  </si>
  <si>
    <t>BAZAN ĐEN, Cubic-Chẻ tay tự nhiên KT 14x14x9 SL:343 v/k</t>
  </si>
  <si>
    <t>BAZAN ĐEN, Cubic-Chẻ tay tự nhiên KT 20x10x8.5 SL:350 v/k</t>
  </si>
  <si>
    <t>BAZAN ĐEN, Cubic-Chẻ tay tự nhiên KT 20x10x9 SL:300 v/k</t>
  </si>
  <si>
    <t>BAZAN ĐEN, Cubic-Chẻ tay tự nhiên KT 40x18x15 SL:40 v/k</t>
  </si>
  <si>
    <t>BAZAN ĐEN, Cubic-Chẻ tay tự nhiên KT 9x9x7 SL:968 v/k</t>
  </si>
  <si>
    <t>BAZAN ĐEN, Đá cây-6 mặt đốt xịt nước, vạt mép 3mm KT 100x20x10 SL:20 v/k</t>
  </si>
  <si>
    <t>BAZAN ĐEN, Đá cây-6 mặt đốt xịt nước, vạt mép 3mm KT 100x20x6 SL:30 v/k</t>
  </si>
  <si>
    <t>BAZAN ĐEN, Đá cây-6 mặt đốt xịt nước, vạt mép 3mm KT 100x25x10 SL:18 v/k</t>
  </si>
  <si>
    <t>BAZAN ĐEN, Đá cây-6 mặt đốt xịt nước, vạt mép 3mm KT 100x25x6 SL:30 v/k</t>
  </si>
  <si>
    <t>BAZAN ĐEN, Đá cây-6 mặt đốt xịt nước, vạt mép 3mm KT 100x25x7 SL:26 v/k</t>
  </si>
  <si>
    <t>BAZAN ĐEN, Đá cây-6 mặt đốt xịt nước, vạt mép 3mm KT 100x25x8 SL:20 v/k</t>
  </si>
  <si>
    <t>BAZAN ĐEN, Đá cây-6 mặt đốt xịt nước, vạt mép 3mm KT 100x25x8 SL:24 v/k</t>
  </si>
  <si>
    <t>BAZAN ĐEN, Đá cây-6 mặt đốt xịt nước, vạt mép 3mm KT 100x30x7 SL:20 v/k</t>
  </si>
  <si>
    <t>BAZAN ĐEN, Đá cây-6 mặt đốt xịt nước, vạt mép 3mm KT 100x30x8 SL:20 v/k</t>
  </si>
  <si>
    <t>BAZAN ĐEN, Đá cây-6 mặt đốt xịt nước, vạt mép 3mm KT 100x40x10 SL:2 v/k</t>
  </si>
  <si>
    <t>BAZAN ĐEN, Đá cây-6 mặt đốt xịt nước, vạt mép 3mm KT 100x50x8 SL:9 v/k</t>
  </si>
  <si>
    <t>BAZAN ĐEN, Đá cây-6 mặt đốt xịt nước, vạt mép 3mm KT 125x25x8 SL:18 v/k</t>
  </si>
  <si>
    <t>BAZAN ĐEN, Đá cây-6 mặt đốt xịt nước, vạt mép 3mm KT 150x25x10 SL:12 v/k</t>
  </si>
  <si>
    <t>BAZAN ĐEN, Đá cây-6 mặt đốt xịt nước, vạt mép 3mm KT 150x25x8 SL:14 v/k</t>
  </si>
  <si>
    <t>BAZAN ĐEN, Đá cây-6 mặt đốt xịt nước, vạt mép 3mm KT 150x25x8 SL:16 v/k</t>
  </si>
  <si>
    <t>BAZAN ĐEN, Đá cây-6 mặt đốt xịt nước, vạt mép 3mm KT 150x50x8 SL:8 v/k</t>
  </si>
  <si>
    <t>BAZAN ĐEN, Đá cây-6 mặt đốt xịt nước, vạt mép 3mm KT 200x25x8 SL:10 v/k</t>
  </si>
  <si>
    <t>BAZAN ĐEN, Đá cây-6 mặt đốt xịt nước, vạt mép 3mm KT 200x25x8 SL:12 v/k</t>
  </si>
  <si>
    <t>BAZAN ĐEN, Đá cây-6 mặt đốt xịt nước, vạt mép 3mm KT 220x50x8 SL:6 v/k</t>
  </si>
  <si>
    <t>BAZAN ĐEN, Đá cây-6 mặt đốt xịt nước, vạt mép 3mm KT 25x25x8 SL:96 v/k</t>
  </si>
  <si>
    <t>BAZAN ĐEN, Đá cây-6 mặt đốt xịt nước, vạt mép 3mm KT 35x25x10 SL:40 v/k</t>
  </si>
  <si>
    <t>BAZAN ĐEN, Đá cây-6 mặt đốt xịt nước, vạt mép 3mm KT 50x20x10 SL:40 v/k</t>
  </si>
  <si>
    <t>BAZAN ĐEN, Đá cây-6 mặt đốt xịt nước, vạt mép 3mm KT 50x25x10 SL:36 v/k</t>
  </si>
  <si>
    <t>BAZAN ĐEN, Đá cây-6 mặt đốt xịt nước, vạt mép 3mm KT 50x25x7 SL:52 v/k</t>
  </si>
  <si>
    <t>BAZAN ĐEN, Đá cây-6 mặt đốt xịt nước, vạt mép 3mm KT 50x25x8 SL:48 v/k</t>
  </si>
  <si>
    <t>BAZAN ĐEN, Đá cây-6 mặt đốt xịt nước, vạt mép 3mm KT 60x20x6 SL:48 v/k</t>
  </si>
  <si>
    <t>BAZAN ĐEN, Đá cây-6 mặt đốt xịt nước, vạt mép 3mm KT 75x25x7 SL:32 v/k</t>
  </si>
  <si>
    <t>BAZAN ĐEN, Đá cây-6 mặt đốt xịt nước, vạt mép 3mm KT 75x25x8 SL:28 v/k</t>
  </si>
  <si>
    <t>BAZAN ĐEN, Đá cây-Chẻ tay tự nhiên KT 100x16x16 SL:17 v/k</t>
  </si>
  <si>
    <t>BAZAN ĐEN, Đá cây-Chẻ tay tự nhiên KT 100x25x8 SL:28 v/k</t>
  </si>
  <si>
    <t>BAZAN ĐEN, Đá cây-Chẻ tay tự nhiên KT 120x12x12 SL:28 v/k</t>
  </si>
  <si>
    <t>BAZAN ĐEN, Đá cây-Chẻ tay tự nhiên KT 40x12x12 SL:90 v/k</t>
  </si>
  <si>
    <t>BAZAN ĐEN, Đá cây-Chẻ tay tự nhiên KT 60x12x12 SL:56 v/k</t>
  </si>
  <si>
    <t>BAZAN ĐEN, Đá cây-Chẻ tay tự nhiên KT 90x12x12 SL:32 v/k</t>
  </si>
  <si>
    <t>BAZAN ĐEN, Đá lát-6 mặt đốt xịt nước, vạt mép 3mm KT 80x40x4 SL:20 v/k</t>
  </si>
  <si>
    <t>BAZAN ĐEN, Đá lát-Mặt đốt xịt nước, cạnh cưa  KT 15x15x1.2 SL:250 v/k</t>
  </si>
  <si>
    <t>BAZAN ĐEN, Đá lát-Mặt đốt xịt nước, cạnh cưa, vạt mép 3mm KT 20x10x3 SL:660 v/k</t>
  </si>
  <si>
    <t>BAZAN ĐEN, Đá lát-Mặt đốt xịt nước, cạnh cưa, vạt mép 3mm KT 35x15x6 SL:128 v/k</t>
  </si>
  <si>
    <t>BAZAN ĐEN, Đá lát-Mặt đốt xịt nước, cạnh cưa, vạt mép 3mm KT 60x30x3 SL:68 v/k</t>
  </si>
  <si>
    <t>BAZAN ĐEN, Đá lát-Mặt đốt xịt nước, cạnh cưa, vạt mép 3mm KT 60x40x3 SL:34 v/k</t>
  </si>
  <si>
    <t>BAZAN ĐEN, Đá lát-Mặt đốt xịt nước, cạnh cưa, vạt mép 1mm KT 60x60x3 SL:34 v/k</t>
  </si>
  <si>
    <t>BAZAN ĐEN, Đá lát-Mặt đốt xịt nước, cạnh cưa, vạt mép 3mm KT 80x30x3 SL:34 v/k</t>
  </si>
  <si>
    <t>BAZAN ĐEN, Đá lát-Mặt đốt xịt nước, cạnh cưa, vạt mép 3mm KT 80x40x3 SL:34 v/k</t>
  </si>
  <si>
    <t>BAZAN ĐEN, Đá lát-Mặt đốt xịt nước, cạnh cưa, vạt mép 3mm KT 90x45x3 SL:30 v/k</t>
  </si>
  <si>
    <t>BAZAN ĐEN, Đá lát-Mặt đốt xịt nước, cạnh cưa, vạt mép 3mm KT 90x60x3 SL:20 v/k</t>
  </si>
  <si>
    <t>BAZAN ĐEN, Đá lát-Mặt đốt xịt nước, cạnh cưa, vạt mép 1mm KT 90x60x3 SL:25 v/k</t>
  </si>
  <si>
    <t>BAZAN ĐEN, Đá tấm-Đốt xịt nước KT 150-220x60x3 SL:20 v/k</t>
  </si>
  <si>
    <t>BAZAN ĐEN, Đá tấm-Đốt xịt nước KT 150-220x60x4 SL:12 v/k</t>
  </si>
  <si>
    <t>BAZAN ĐEN, Đá tấm-Đốt xịt nước KT 150-220x80x3 SL:10 v/k</t>
  </si>
  <si>
    <t>BAZAN ĐEN, Đá tấm-Đốt xịt nước KT 150-220x80x4 SL:8 v/k</t>
  </si>
  <si>
    <t>BAZAN ĐEN, Đá tấm-Đốt xịt nước KT 180-220x60x4 SL:12 v/k</t>
  </si>
  <si>
    <t>BAZAN ĐEN, Đá tấm-Mặt đốt xịt nước, 2 cạnh dài hon, 2 mép dài trên bo tròn R=0.5cm và hon cùng màu cạnh, 2 mép dài dưới vạt 3mm KT 100x30x6 SL:20 v/k</t>
  </si>
  <si>
    <t>BAZAN ĐEN, Nắp tường rào-5 mặt đốt xịt nước, đáy cưa, 2 rãnh thoát nước dọc 2 cạnh dài 0.5x0.5cm cách mép 1.5cm, vạt mép 3mm KT 75x30x4 SL:30 v/k</t>
  </si>
  <si>
    <t>BAZAN ĐEN, Nắp tường rào-5 mặt đốt xịt nước, đáy cưa, 2 rãnh thoát nước dọc 2 cạnh dài 0.5x0.5cm cách mép 1.5cm, vạt mép 3mm KT 75x35x4 SL:30 v/k</t>
  </si>
  <si>
    <t>BAZAN ĐEN, Nắp tường rào-5 mặt đốt xịt nước, đáy cưa, 2 rãnh thoát nước dọc 2 cạnh dài 0.5x0.5cm cách mép 1.5cm, vạt mép 3mm KT 75x40x4 SL:30 v/k</t>
  </si>
  <si>
    <t>BAZAN ĐEN, Nắp tường rào-Mặt đốt xịt nước, 2 cạnh dài chẻ tay tự nhiên, 2 rãnh thoát nước dọc 2 cạnh dài 0.8x0.8cm cách mép 2cm KT 100x26x5 SL:20 v/k</t>
  </si>
  <si>
    <t>BAZAN ĐEN, Nắp tường rào-Mặt đốt xịt nước, 2 cạnh dài chẻ tay tự nhiên, 2 rãnh thoát nước dọc 2 cạnh dài 0.5x0.5cm cách mép 1.5cm KT 100x30x4 SL:25 v/k</t>
  </si>
  <si>
    <t>BAZAN ĐEN, Nắp tường rào-Mặt đốt xịt nước, 2 cạnh dài hon, 2 rãnh thoát nước dọc 2 cạnh dài 0.5x0.5cm cách mép 1.5cm, vạt 4 mép cạnh dài 3mm KT 100x25x4 SL:25 v/k</t>
  </si>
  <si>
    <t>BAZAN ĐEN, Nắp tường rào-Mặt đốt xịt nước, 2 cạnh dài hon, 2 rãnh thoát nước dọc 2 cạnh dài 0.5x0.5cm cách mép 1.5cm, rãnh cắt hết, vạt mép cạnh dài 3mm KT 100x30x3 SL:35 v/k</t>
  </si>
  <si>
    <t>BAZAN ĐEN, Nắp tường rào-Mặt đốt xịt nước, 2 cạnh dài hon, 2 rãnh thoát nước dọc 2 cạnh dài 0.5x0.5cm cách mép 1.5cm, vạt 4 mép cạnh dài 3mm KT 100x30x4 SL:25 v/k</t>
  </si>
  <si>
    <t>BAZAN ĐEN, Nắp tường rào-Mặt đốt xịt nước, 2 cạnh dài hon, 2 rãnh thoát nước dọc 2 cạnh dài 0.5x0.5cm cách mép 1.5cm, rãnh cắt hết, vạt mép cạnh dài 3mm KT 100x35x3 SL:30 v/k</t>
  </si>
  <si>
    <t>BAZAN ĐEN, Nắp tường rào-Mặt đốt xịt nước, 2 cạnh dài hon, 2 rãnh thoát nước dọc 2 cạnh dài 0.5x0.5cm cách mép 1.5cm, vạt 4 mép cạnh dài 3mm KT 100x35x4 SL:25 v/k</t>
  </si>
  <si>
    <t>BAZAN ĐEN, Nắp tường rào-Mặt đốt xịt nước, 2 cạnh dài hon, 2 rãnh thoát nước dọc 2 cạnh dài 0.5x0.5cm cách mép 1.5cm, vạt 4 mép cạnh dài 3mm KT 100x40x4 SL:25 v/k</t>
  </si>
  <si>
    <t>BAZAN ĐEN, Nắp tường rào-Mặt đốt xịt nước, 4 cạnh hon, 4 rãnh thoát nước dọc theo cạnh cách mép 2cm, vạt mép 3mm KT 50x50x4 SL:1 v/k</t>
  </si>
  <si>
    <t>BAZAN ĐEN, Nắp tường rào-Mặt đốt xịt nước, 1 cạnh dài đốt xịt nước bo tròn R=1.5cm, cạnh còn lại vạt mép 3mm KT 50x35x4 SL:50 v/k</t>
  </si>
  <si>
    <t>BAZAN ĐEN, Nắp tường rào-Mặt đốt xịt nước, 2 cạnh dài đốt xịt nước, 2 rãnh thoát nước dọc 2 cạnh dài 0.5x0.5cm cách mép 1.5cm, vạt 4 mép cạnh dài 3mm KT 60x30x3 SL:68 v/k</t>
  </si>
  <si>
    <t>BAZAN ĐEN, Nắp tường rào-Mặt đốt xịt nước, 2 cạnh dài đốt xịt nước, 2 rãnh thoát nước dọc 2 cạnh dài 0.5x0.5cm cách mép 1.5cm, vạt 4 mép cạnh dài 3mm KT 60x35x3 SL:34 v/k</t>
  </si>
  <si>
    <t>BAZAN ĐEN, Ốp bậc thang-5 mặt đốt xịt nước, vạt mép 3mm KT 90x45x3 SL:26 v/k</t>
  </si>
  <si>
    <t>BAZAN ĐEN, Ốp bậc thang-Mặt đốt xịt nước, 1 cạnh dài hon, mép trên và dưới của cạnh hon vạt 3mm KT 120x35x3 SL:25 v/k</t>
  </si>
  <si>
    <t>BAZAN ĐEN, Ốp bậc thang-Mặt đốt xịt nước, 1 cạnh dài hon, mép trên và dưới của cạnh hon vạt 3mm KT 150x35x3 SL:22 v/k</t>
  </si>
  <si>
    <t>BAZAN ĐEN, Ốp bậc thang-Mặt đốt xịt nước, 1 cạnh dài hon, mép trên và dưới của cạnh hon vạt 3mm KT 200x35x3 SL:20 v/k</t>
  </si>
  <si>
    <t>BAZAN ĐEN, Ốp bậc thang-Mặt hon, cạnh cưa, vạt mép 1mm KT 120x14.5x3 SL:50 v/k</t>
  </si>
  <si>
    <t>BAZAN ĐEN, Ốp bậc thang-Mặt hon, cạnh cưa, vạt mép 1mm KT 150x14.5x3 SL:44 v/k</t>
  </si>
  <si>
    <t>BAZAN ĐEN, Ốp bậc thang-Mặt hon, cạnh cưa, vạt mép 1mm KT 200x14.5x3 SL:50 v/k</t>
  </si>
  <si>
    <t>BAZAN ĐEN, Tường rào-Mặt đốt xịt nước, 1 cạnh dài đốt xịt nước, đáy đốt xịt nước, vạt mép 3mm KT 100x20x5 SL:36 v/k</t>
  </si>
  <si>
    <t>BAZAN ĐEN, Tường rào-Mặt cưa, đáy cưa, 2 cạnh ngắn cưa, 2 cạnh dài chẻ tay tự nhiên KT 20x35x15 SL:40 v/k</t>
  </si>
  <si>
    <t>BLUESTONE, Bậc thang-Giả cổ tay KT 100x30x16 SL:9 v/k</t>
  </si>
  <si>
    <t>BLUESTONE, Bậc thang-Giả cổ tay KT 125x30x16 SL:6 v/k</t>
  </si>
  <si>
    <t>BLUESTONE, Bậc thang-Mài giấy KT 100x30x16 SL:9 v/k</t>
  </si>
  <si>
    <t>BLUESTONE, Bậc thang-Mài giấy KT 125x30x16 SL:4 v/k</t>
  </si>
  <si>
    <t>BLUESTONE, Bậc thang-Mài giấy, vạt mép cạnh dài 5mm, vạt mép cạnh ngắn 3mm KT 100x35x15 SL:8 v/k</t>
  </si>
  <si>
    <t>BLUESTONE, Bậc thang-Mài giấy, vạt mép cạnh dài 5mm, vạt mép cạnh ngắn 3mm KT 150x35x15 SL:6 v/k</t>
  </si>
  <si>
    <t>BLUESTONE, Bậc thang-Mài giấy, vạt mép cạnh dài 5mm, vạt mép cạnh ngắn 3mm KT 50x35x15 SL:10 v/k</t>
  </si>
  <si>
    <t>BLUESTONE, Cubic-Giả cổ rung KT 10x10x5 SL:720 v/k</t>
  </si>
  <si>
    <t>BLUESTONE, Cubic-Giả cổ rung KT 20x10x5 SL:360 v/k</t>
  </si>
  <si>
    <t>BLUESTONE, Đá cây-Giả cổ rung mặt và cạnh KT 60x30x5 SL:40 v/k</t>
  </si>
  <si>
    <t>BLUESTONE, Đá cây-Giả cổ tay KT 100x15x5 SL:48 v/k</t>
  </si>
  <si>
    <t>BLUESTONE, Đá cây-Giả cổ tay KT 100x20x5 SL:36 v/k</t>
  </si>
  <si>
    <t>BLUESTONE, Đá cây-Giả cổ tay KT 100x25x10 SL:16 v/k</t>
  </si>
  <si>
    <t>BLUESTONE, Đá cây-Giả cổ tay KT 100x30x5 SL:24 v/k</t>
  </si>
  <si>
    <t>BLUESTONE, Đá cây-Giả cổ tay KT 100x35x5 SL:20 v/k</t>
  </si>
  <si>
    <t>BLUESTONE, Đá cây-Giả cổ tay KT 125x25x10 SL:14 v/k</t>
  </si>
  <si>
    <t>BLUESTONE, Đá cây-Giả cổ tay KT 50x25x10 SL:32 v/k</t>
  </si>
  <si>
    <t>BLUESTONE, Đá cây-Giả cổ tay KT 75x25x10 SL:20 v/k</t>
  </si>
  <si>
    <t>BLUESTONE, Đá cây-Mài giấy KT 100x15x5 SL:48 v/k</t>
  </si>
  <si>
    <t>BLUESTONE, Đá cây-Mài giấy KT 100x20x5 SL:36 v/k</t>
  </si>
  <si>
    <t>BLUESTONE, Đá cây-Mài giấy KT 100x25x5 SL:24 v/k</t>
  </si>
  <si>
    <t>BLUESTONE, Đá cây-Mài giấy KT 100x30x5 SL:24 v/k</t>
  </si>
  <si>
    <t>BLUESTONE, Đá cây-Mài giấy KT 50x25x8 SL:40 v/k</t>
  </si>
  <si>
    <t>BLUESTONE, Đá cây-Mài giấy KT 75x25x8 SL:24 v/k</t>
  </si>
  <si>
    <t>BLUESTONE, Đá cây-Mài giấy 6 mặt, vạt mép 3mm KT 100x20x6 SL:30 v/k</t>
  </si>
  <si>
    <t>BLUESTONE, Đá cây-Mài giấy 6 mặt, vạt mép 3mm KT 100x25x8 SL:20 v/k</t>
  </si>
  <si>
    <t>BLUESTONE, Đá cây-Mài giấy 6 mặt, vạt mép 3mm KT 125x25x8 SL:16 v/k</t>
  </si>
  <si>
    <t>BLUESTONE, Đá cây-Mài giấy 6 mặt, vạt mép 3mm KT 150x25x8 SL:14 v/k</t>
  </si>
  <si>
    <t>BLUESTONE, Đá lát-Mặt và 1 cạnh dài giả cổ rung, các cạnh còn lại cưa máy, vạt mép 1 cạnh dài 3mm KT 100.1x28.5x4 SL:30 v/k</t>
  </si>
  <si>
    <t>BLUESTONE, Đá lát-Mặt và 1 cạnh dài giả cổ rung, các cạnh còn lại cưa máy, vạt mép 1 cạnh dài 3mm KT 100.6x28.5x4 SL:30 v/k</t>
  </si>
  <si>
    <t>BLUESTONE, Đá lát-Giả cổ rung KT 15x15x1.2 SL:50 v/k</t>
  </si>
  <si>
    <t>BLUESTONE, Đá lát-Giả cổ rung KT 20x20x2 SL:450 v/k</t>
  </si>
  <si>
    <t>BLUESTONE, Đá lát-Giả cổ rung KT 20x20x2.5 SL:360 v/k</t>
  </si>
  <si>
    <t>BLUESTONE, Đá lát-Giả cổ rung KT 20x20x5 SL:180 v/k</t>
  </si>
  <si>
    <t>BLUESTONE, Đá lát-Giả cổ rung KT 20x5x2.5 SL:1440 v/k</t>
  </si>
  <si>
    <t>BLUESTONE, Đá lát-Giả cổ rung KT 20x5x5 SL:720 v/k</t>
  </si>
  <si>
    <t>BLUESTONE, Đá lát-Giả cổ rung KT 25x8x5 SL:360 v/k</t>
  </si>
  <si>
    <t>BLUESTONE, Đá lát-Giả cổ rung KT 30x30x2.5 SL:160 v/k</t>
  </si>
  <si>
    <t>BLUESTONE, Đá lát-Giả cổ rung KT 40x40x2.5 SL:80 v/k</t>
  </si>
  <si>
    <t>BLUESTONE, Đá lát-Mặt và 1 cạnh dài giả cổ rung, các cạnh còn lại cưa máy, vạt mép 1 cạnh dài 3mm KT 50.3x28.5x4 SL:30 v/k</t>
  </si>
  <si>
    <t>BLUESTONE, Đá lát-Giả cổ rung KT 50x50x2.5 SL:40 v/k</t>
  </si>
  <si>
    <t>BLUESTONE, Đá lát-Giả cổ rung KT 60x30x2 SL:100 v/k</t>
  </si>
  <si>
    <t>BLUESTONE, Đá lát-Giả cổ rung KT 60x30x3 SL:33 v/k</t>
  </si>
  <si>
    <t>BLUESTONE, Đá lát-Giả cổ rung KT 60x40x2 SL:50 v/k</t>
  </si>
  <si>
    <t>BLUESTONE, Đá lát-Giả cổ rung KT 60x40x2.5 SL:40 v/k</t>
  </si>
  <si>
    <t>BLUESTONE, Đá lát-Giả cổ rung KT 60x40x3 SL:33 v/k</t>
  </si>
  <si>
    <t>BLUESTONE, Đá lát-Giả cổ rung KT 60x60x2 SL:50 v/k</t>
  </si>
  <si>
    <t>BLUESTONE, Đá lát-Giả cổ rung KT 60x60x2.5 SL:40 v/k</t>
  </si>
  <si>
    <t>BLUESTONE, Đá lát-Mặt và 1 cạnh dài giả cổ rung, các cạnh còn lại cưa máy, vạt mép 1 cạnh dài 3mm KT 62.5x7.5x2 SL:30 v/k</t>
  </si>
  <si>
    <t>BLUESTONE, Đá lát-Mặt và 1 cạnh dài giả cổ rung, các cạnh còn lại cưa máy, vạt mép 1 cạnh dài 3mm KT 72.8x28.5x4 SL:30 v/k</t>
  </si>
  <si>
    <t>BLUESTONE, Đá lát-Mặt và 1 cạnh dài giả cổ rung, các cạnh còn lại cưa máy, vạt mép 1 cạnh dài 3mm KT 75.4x28.5x4 SL:30 v/k</t>
  </si>
  <si>
    <t>BLUESTONE, Đá lát-Giả cổ rung KT 80x40x3 SL:34 v/k</t>
  </si>
  <si>
    <t>BLUESTONE, Đá lát-Mặt và 1 cạnh dài giả cổ rung, các cạnh còn lại cưa máy, vạt mép 1 cạnh dài 3mm KT 88.5x28.5x4 SL:30 v/k</t>
  </si>
  <si>
    <t>BLUESTONE, Đá lát-Giả cổ rung KT 90x60x2.5 SL:25 v/k</t>
  </si>
  <si>
    <t>BLUESTONE, Đá lát-Giả cổ rung KT 90x60x3 SL:20 v/k</t>
  </si>
  <si>
    <t>BLUESTONE, Đá lát-Mặt và 1 cạnh dài giả cổ rung, các cạnh còn lại cưa máy, vạt mép 1 cạnh dài 3mm KT 95.3x28.5x4 SL:30 v/k</t>
  </si>
  <si>
    <t>BLUESTONE, Đá lát-Đốt chải KT 60x30x3 SL:66 v/k</t>
  </si>
  <si>
    <t>BLUESTONE, Đá lát-Đốt chải KT 60x40x3 SL:33 v/k</t>
  </si>
  <si>
    <t>BLUESTONE, Đá lát-Mài giấy KT 20x20x2 SL:450 v/k</t>
  </si>
  <si>
    <t>BLUESTONE, Đá lát-Mài giấy KT 40x20x2 SL:200 v/k</t>
  </si>
  <si>
    <t>BLUESTONE, Đá lát-Mài giấy KT 40x40x2 SL:100 v/k</t>
  </si>
  <si>
    <t>BLUESTONE, Đá lát-Mài giấy KT 40x40x2.5 SL:80 v/k</t>
  </si>
  <si>
    <t>BLUESTONE, Đá lát-Mài giấy KT 50x50x2.5 SL:40 v/k</t>
  </si>
  <si>
    <t>BLUESTONE, Đá lát-Mài giấy KT 60x40x2 SL:50 v/k</t>
  </si>
  <si>
    <t>BLUESTONE, Đá lát-Mài giấy KT 60x40x2.5 SL:40 v/k</t>
  </si>
  <si>
    <t>BLUESTONE, Đá lát-Mài giấy KT 60x60x2.5 SL:40 v/k</t>
  </si>
  <si>
    <t>BLUESTONE, Đá lát-Mẻ cát, giả cổ rung KT 40x40x2 SL:100 v/k</t>
  </si>
  <si>
    <t>BLUESTONE, Đá lát-Mẻ cát KT 30x30x2.5 SL:160 v/k</t>
  </si>
  <si>
    <t>BLUESTONE, Đá lát-Mẻ cát KT 40x40x2.5 SL:80 v/k</t>
  </si>
  <si>
    <t>BLUESTONE, Đá lát-Mẻ cát CLC KT 40x40x2 SL:100 v/k</t>
  </si>
  <si>
    <t>BLUESTONE, Đá lát-Quay mẻ KT 15x15x2 SL:800 v/k</t>
  </si>
  <si>
    <t>BLUESTONE, Đá lát-Quay mẻ KT 15x15x2.5 SL:640 v/k</t>
  </si>
  <si>
    <t>BLUESTONE, Đá lát-Quay mẻ KT 20x20x5 SL:180 v/k</t>
  </si>
  <si>
    <t>BLUESTONE, Đá lát-Quay mẻ KT 20x5x5 SL:720 v/k</t>
  </si>
  <si>
    <t>BLUESTONE, Đá lát-Quay mẻ KT 24x8x5 SL:360 v/k</t>
  </si>
  <si>
    <t>BLUESTONE, Đá lát-Quay mẻ CLC KT 15x15x2 SL:800 v/k</t>
  </si>
  <si>
    <t>BLUESTONE, Đá lát-Quay mẻ CLC KT 15x15x4 SL:400 v/k</t>
  </si>
  <si>
    <t>BLUESTONE, Đá lát-Quay mẻ CLC KT 15x15x5 SL:320 v/k</t>
  </si>
  <si>
    <t>BLUESTONE, Đá lát-Quay mẻ CLC KT 20x20x2.5 SL:360 v/k</t>
  </si>
  <si>
    <t>BLUESTONE, Đá lát-Tách lồi KT 20x5x5 SL:684 v/k</t>
  </si>
  <si>
    <t>BLUESTONE, Đá hồ bơi-Mài giấy KT 106.6x43x5/3 SL:25 v/k</t>
  </si>
  <si>
    <t>BLUESTONE, Đá hồ bơi-Mài giấy KT 109.28x28x5/3 SL:25 v/k</t>
  </si>
  <si>
    <t>BLUESTONE, Nắp tường rào-Mài giấy 5 cạnh, đáy cưa, 2 rãnh thoát nước dọc 2 cạnh dài 0.8x0.8 cm cách mép 1,5 cm, vạt mép cạnh dài 3mm, vạt mép cạnh ngắn 1mm KT 100x20x3 SL:60 v/k</t>
  </si>
  <si>
    <t>BLUESTONE, Nắp tường rào-Mài giấy 5 cạnh, đáy cưa, 2 rãnh thoát nước dọc 2 cạnh dài 0.8x0.8 cm cách mép 1,5 cm, vạt mép cạnh dài 3mm, vạt mép cạnh ngắn 1mm KT 100x30x3 SL:40 v/k</t>
  </si>
  <si>
    <t>BLUESTONE, Nắp tường rào-Mặt và 1 cạnh dài mài giấy, vạt mép 3mm KT 100x30x3 SL:6 v/k</t>
  </si>
  <si>
    <t>BLUESTONE, Nắp tường rào-Mài giấy 5 cạnh, đáy cưa, 2 rãnh thoát nước dọc 2 cạnh dài 0.8x0.8 cm cách mép 1,5 cm, vạt mép cạnh dài 3mm, vạt mép cạnh ngắn 1mm KT 100x35x3 SL:30 v/k</t>
  </si>
  <si>
    <t>BLUESTONE, Nắp tường rào-Mặt và 2 cạnh dài mài giấy, 2 rãnh thoát nước dọc 2 cạnh dài 0.5x0.5cm cách mép 2cm, vạt mép trên và mép dưới 2 cạnh dài 3mm KT 100x35x4 SL:20 v/k</t>
  </si>
  <si>
    <t>BLUESTONE, Nắp tường rào-Mài giấy 5 cạnh, đáy cưa, 2 rãnh thoát nước dọc 2 cạnh dài 0.8x0.8 cm cách mép 1,5 cm, vạt mép cạnh dài 3mm, vạt mép cạnh ngắn 1mm KT 100x40x3 SL:25 v/k</t>
  </si>
  <si>
    <t>BLUESTONE, Nắp tường rào-Mài giấy 6 mặt, vạt mép 3mm KT 120x30x3 SL:25 v/k</t>
  </si>
  <si>
    <t>BLUESTONE, Nắp tường rào-Mài giấy 6 mặt, vạt mép 3mm KT 120x35x3 SL:25 v/k</t>
  </si>
  <si>
    <t>BAZAN XÁM, Bậc thang-6 mặt đốt chải, vạt mép 3mm KT 100x30x16 SL:9 v/k</t>
  </si>
  <si>
    <t>BAZAN XÁM, Bậc thang-6 mặt đốt, vạt mép 3mm KT 100x33x15 SL:8 v/k</t>
  </si>
  <si>
    <t>BAZAN XÁM, Bậc thang-6 mặt đốt chải, vạt mép 3mm KT 125x30x16 SL:6 v/k</t>
  </si>
  <si>
    <t>BAZAN XÁM, Bậc thang-6 mặt đốt chải, vạt mép 3mm KT 150x30x16 SL:6 v/k</t>
  </si>
  <si>
    <t>BAZAN XÁM, Bậc thang-6 mặt đốt, vạt mép 3mm KT 180x36x10 SL:6 v/k</t>
  </si>
  <si>
    <t>BAZAN XÁM, Bậc thang-6 mặt đốt, vạt mép 3mm KT 200x33x15 SL:4 v/k</t>
  </si>
  <si>
    <t>BAZAN XÁM, Bo vỉa hè-Chẻ tay tự nhiên KT 30x15x10 SL:126 v/k</t>
  </si>
  <si>
    <t>BAZAN XÁM, Cubic-Mặt đốt, cạnh cưa, vạt mép 2mm, đáy băm bám hồ KT 16x16x12 SL:144 v/k</t>
  </si>
  <si>
    <t>BAZAN XÁM, Cubic-Mặt đốt, cạnh chẻ tay, đáy cưa KT 14x14x5 SL:539 v/k</t>
  </si>
  <si>
    <t>BAZAN XÁM, Cubic-Mặt đốt, cạnh chẻ tay, đáy cưa KT 14x14x8 SL:343 v/k</t>
  </si>
  <si>
    <t>BAZAN XÁM, Cubic-Mặt đốt, cạnh chẻ tay, đáy cưa KT 16x16x7 SL:288 v/k</t>
  </si>
  <si>
    <t>BAZAN XÁM, Cubic-Chẻ tay tự nhiên KT 10x10x8 SL:700 v/k</t>
  </si>
  <si>
    <t>BAZAN XÁM, Cubic-Chẻ tay tự nhiên KT 10x10x8.5 SL:700 v/k</t>
  </si>
  <si>
    <t>BAZAN XÁM, Cubic-Chẻ tay tự nhiên KT 10x10x9 SL:700 v/k</t>
  </si>
  <si>
    <t>BAZAN XÁM, Cubic-Chẻ tay tự nhiên KT 14x14x4 SL:735 v/k</t>
  </si>
  <si>
    <t>BAZAN XÁM, Cubic-Chẻ tay tự nhiên KT 14x14x8 SL:343 v/k</t>
  </si>
  <si>
    <t>BAZAN XÁM, Cubic-Chẻ tay tự nhiên KT 16x16x16 SL:144 v/k</t>
  </si>
  <si>
    <t>BAZAN XÁM, Cubic-Chẻ tay tự nhiên KT 19x9x9 SL:250 v/k</t>
  </si>
  <si>
    <t>BAZAN XÁM, Cubic-Chẻ tay tự nhiên KT 20x10x10 SL:6300 v/k</t>
  </si>
  <si>
    <t>BAZAN XÁM, Cubic-Chẻ tay tự nhiên KT 20x10x8.5 SL:350 v/k</t>
  </si>
  <si>
    <t>BAZAN XÁM, Cubic-Chẻ tay tự nhiên KT 20x10x9 SL:300 v/k</t>
  </si>
  <si>
    <t>BAZAN XÁM, Cubic-Chẻ tay tự nhiên KT 20x20x20 SL:5 v/k</t>
  </si>
  <si>
    <t>BAZAN XÁM, Cubic-Chẻ tay tự nhiên KT 29x9x9 SL:180 v/k</t>
  </si>
  <si>
    <t>BAZAN XÁM, Cubic-Chẻ tay tự nhiên KT 30x30x30 SL:12 v/k</t>
  </si>
  <si>
    <t>BAZAN XÁM, Cubic-Chẻ tay tự nhiên KT 40x40x40 SL:2 v/k</t>
  </si>
  <si>
    <t>BAZAN XÁM, Cubic-Chẻ tay tự nhiên KT 50x50x50 SL:5 v/k</t>
  </si>
  <si>
    <t>BAZAN XÁM, Cubic-Chẻ tay tự nhiên KT 5x5x5 SL:4000 v/k</t>
  </si>
  <si>
    <t>BAZAN XÁM, Cubic-Chẻ tay tự nhiên KT 9x9x4.5 SL:1000 v/k</t>
  </si>
  <si>
    <t>BAZAN XÁM, Cubic-Chẻ tay tự nhiên KT 9x9x9 SL:500 v/k</t>
  </si>
  <si>
    <t>BAZAN XÁM, Cubic-Chẻ tay tự nhiên KT 9x9x9 SL:726 v/k</t>
  </si>
  <si>
    <t>BAZAN XÁM, Cubic-1 cạnh dài chẻ tay tự nhiên, còn lại cưa KT 30x5x5 SL:432 v/k</t>
  </si>
  <si>
    <t>BAZAN XÁM, Đá cây-6 mặt đốt chải, vạt mép 3mm KT 100x25x8 SL:20 v/k</t>
  </si>
  <si>
    <t>BAZAN XÁM, Đá cây-6 mặt đốt chải, vạt mép 3mm KT 125x25x8 SL:18 v/k</t>
  </si>
  <si>
    <t>BAZAN XÁM, Đá cây-6 mặt đốt chải, vạt mép 3mm KT 150x25x8 SL:16 v/k</t>
  </si>
  <si>
    <t>BAZAN XÁM, Đá cây-6 mặt đốt chải, vạt mép 3mm KT 150x35x8 SL:9 v/k</t>
  </si>
  <si>
    <t>BAZAN XÁM, Đá cây-6 mặt đốt chải, vạt mép 3mm KT 150x9.5x7 SL:16 v/k</t>
  </si>
  <si>
    <t>BAZAN XÁM, Đá cây-6 mặt đốt chải, vạt mép 3mm KT 155.5x13.5x5 SL:16 v/k</t>
  </si>
  <si>
    <t>BAZAN XÁM, Đá cây-6 mặt đốt chải, vạt mép 3mm KT 155.5x35x4 SL:16 v/k</t>
  </si>
  <si>
    <t>BAZAN XÁM, Đá cây-6 mặt đốt chải, vạt mép 3mm KT 155x13.5x5 SL:16 v/k</t>
  </si>
  <si>
    <t>BAZAN XÁM, Đá cây-6 mặt đốt chải, vạt mép 3mm KT 155x35x4 SL:16 v/k</t>
  </si>
  <si>
    <t>BAZAN XÁM, Đá cây-6 mặt đốt chải, vạt mép 3mm KT 35x13.5x5 SL:16 v/k</t>
  </si>
  <si>
    <t>BAZAN XÁM, Đá cây-6 mặt đốt chải, vạt mép 3mm KT 75x25x8 SL:28 v/k</t>
  </si>
  <si>
    <t>BAZAN XÁM, Đá cây-6 mặt đốt, vạt mép 3mm KT 90x12x12 SL:40 v/k</t>
  </si>
  <si>
    <t>BAZAN XÁM, Đá cây-2 mặt đốt, cạnh sộ tay KT 60x10x10 SL:60 v/k</t>
  </si>
  <si>
    <t>BAZAN XÁM, Đá cây-Chẻ tay tự nhiên KT 100x25x8 SL:28 v/k</t>
  </si>
  <si>
    <t>BAZAN XÁM, Đá cây-Cưa lột tay KT 100x12x12 SL:32 v/k</t>
  </si>
  <si>
    <t>BAZAN XÁM, Đá cây-Cưa lột tay KT 100x20x6 SL:30 v/k</t>
  </si>
  <si>
    <t>BAZAN XÁM, Đá cây-Cưa lột tay KT 100x20x7 SL:30 v/k</t>
  </si>
  <si>
    <t>BAZAN XÁM, Đá cây-Cưa lột tay KT 100x20x8 SL:24 v/k</t>
  </si>
  <si>
    <t>BAZAN XÁM, Đá cây-Cưa lột tay KT 100x25x10 SL:18 v/k</t>
  </si>
  <si>
    <t>BAZAN XÁM, Đá cây-Cưa lột tay KT 100x25x25 SL:4 v/k</t>
  </si>
  <si>
    <t>BAZAN XÁM, Đá cây-Cưa lột tay KT 100x25x8 SL:20 v/k</t>
  </si>
  <si>
    <t>BAZAN XÁM, Đá cây-Cưa lột tay KT 100x30x10 SL:16 v/k</t>
  </si>
  <si>
    <t>BAZAN XÁM, Đá cây-Cưa lột tay KT 150x12x12 SL:24 v/k</t>
  </si>
  <si>
    <t>BAZAN XÁM, Đá cây-Cưa lột tay KT 150x25x10 SL:12 v/k</t>
  </si>
  <si>
    <t>BAZAN XÁM, Đá cây-Cưa lột tay KT 175x25x25 SL:4 v/k</t>
  </si>
  <si>
    <t>BAZAN XÁM, Đá cây-Cưa lột tay KT 190x35x35 SL:2 v/k</t>
  </si>
  <si>
    <t>BAZAN XÁM, Đá cây-Cưa lột tay KT 200x25x10 SL:10 v/k</t>
  </si>
  <si>
    <t>BAZAN XÁM, Đá cây-Cưa lột tay KT 25x12x12 SL:128 v/k</t>
  </si>
  <si>
    <t>BAZAN XÁM, Đá cây-Cưa lột tay KT 35x12x12 SL:105 v/k</t>
  </si>
  <si>
    <t>BAZAN XÁM, Đá cây-Cưa lột tay KT 50x12x12 SL:64 v/k</t>
  </si>
  <si>
    <t>BAZAN XÁM, Đá cây-Cưa lột tay KT 50x25x10 SL:36 v/k</t>
  </si>
  <si>
    <t>BAZAN XÁM, Đá cây-Cưa lột tay KT 50x25x25 SL:5 v/k</t>
  </si>
  <si>
    <t>BAZAN XÁM, Đá cây-Cưa lột tay KT 70x50x50 SL:2 v/k</t>
  </si>
  <si>
    <t>BAZAN XÁM, Đá cây-Cưa lột tay KT 75x12x12 SL:45 v/k</t>
  </si>
  <si>
    <t>BAZAN XÁM, Đá cây-Cưa lột tay KT 75x25x10 SL:20 v/k</t>
  </si>
  <si>
    <t>BAZAN XÁM, Đá cây-Cưa lột tay KT 75x25x25 SL:7 v/k</t>
  </si>
  <si>
    <t>BAZAN XÁM, Đá cây-Cưa lột tay KT 90-110x28x12 SL:16 v/k</t>
  </si>
  <si>
    <t>BAZAN XÁM, Đá cây-6 mặt đốt chải, vạt mép 3mm KT 121.4x20x10.2 SL:12 v/k</t>
  </si>
  <si>
    <t>BAZAN XÁM, Đá cây-6 mặt đốt chải, vạt mép 3mm KT 132.1x35.6x8 SL:11 v/k</t>
  </si>
  <si>
    <t>BAZAN XÁM, Đá cây-6 mặt đốt chải, vạt mép 3mm KT 61x40.6x5 SL:20 v/k</t>
  </si>
  <si>
    <t>BAZAN XÁM, Đá lát-Mặt đốt, cạnh cưa KT 100x50x3 SL:20 v/k</t>
  </si>
  <si>
    <t>BAZAN XÁM, Đá lát-Mặt đốt chải, cạnh cưa KT 104.1x68.6x4 SL:12 v/k</t>
  </si>
  <si>
    <t>BAZAN XÁM, Đá lát-Mặt đốt chải, cạnh cưa KT 106.7x61x5 SL:10 v/k</t>
  </si>
  <si>
    <t>BAZAN XÁM, Đá lát-Mặt đốt chải, cạnh cưa KT 106.7x68.6x4 SL:10 v/k</t>
  </si>
  <si>
    <t>BAZAN XÁM, Đá lát-Mặt đốt, cạnh cưa, vạt mép 3mm KT 12.7x7.6x3 SL:60 v/k</t>
  </si>
  <si>
    <t>BAZAN XÁM, Đá lát-Mặt đốt chải, cạnh cưa KT 121.4x32.5x3 SL:33 v/k</t>
  </si>
  <si>
    <t>BAZAN XÁM, Đá lát-Mặt đốt chải, cạnh cưa KT 121.4x41.8x3 SL:33 v/k</t>
  </si>
  <si>
    <t>BAZAN XÁM, Đá lát-Mặt đốt chải, cạnh cưa KT 121.4x63.3x3 SL:23 v/k</t>
  </si>
  <si>
    <t>BAZAN XÁM, Đá lát-Mặt đốt chải, cạnh cưa KT 121.4x67.5x3 SL:23 v/k</t>
  </si>
  <si>
    <t>BAZAN XÁM, Đá lát-Mặt đốt chải, cạnh cưa KT 121.9x68.6x8 SL:6 v/k</t>
  </si>
  <si>
    <t>BAZAN XÁM, Đá lát-Mặt đốt chải, cạnh cưa KT 149.5x61x8 SL:5 v/k</t>
  </si>
  <si>
    <t>BAZAN XÁM, Đá lát-Mặt đốt chải, cạnh cưa KT 152.4x62.2x10 SL:4 v/k</t>
  </si>
  <si>
    <t>BAZAN XÁM, Đá lát-Mặt đốt chải, cạnh cưa KT 152.4x66x4 SL:7 v/k</t>
  </si>
  <si>
    <t>BAZAN XÁM, Đá lát-Mặt đốt chải KT 20x6x2 SL:40 v/k</t>
  </si>
  <si>
    <t>BAZAN XÁM, Đá lát-Mặt đốt, cạnh cưa, đáy cưa KT 30x30x3 SL:100 v/k</t>
  </si>
  <si>
    <t>BAZAN XÁM, Đá lát-Mặt đốt chải, cạnh cưa KT 37.6x31.6x3 SL:33 v/k</t>
  </si>
  <si>
    <t>BAZAN XÁM, Đá lát-Mặt đốt, cạnh cưa, vạt mép 3mm KT 39x19.5x6 SL:96 v/k</t>
  </si>
  <si>
    <t>BAZAN XÁM, Đá lát-Mặt đốt chải, cạnh cưa KT 41.8x29.4x3 SL:33 v/k</t>
  </si>
  <si>
    <t>BAZAN XÁM, Đá lát-Mặt đốt chải, cạnh cưa KT 41.8x39.5x3 SL:33 v/k</t>
  </si>
  <si>
    <t>BAZAN XÁM, Đá lát-Mặt đốt chải, cạnh cưa, vạt mép 1mm KT 45.7x91.4x2 SL:25 v/k</t>
  </si>
  <si>
    <t>BAZAN XÁM, Đá lát-Mặt đốt chải, cạnh cưa, vạt mép 1mm KT 45.7x91.4x4 SL:15 v/k</t>
  </si>
  <si>
    <t>BAZAN XÁM, Đá lát-Mặt đốt, cạnh cưa, đáy cưa KT 45x90x3 SL:30 v/k</t>
  </si>
  <si>
    <t>BAZAN XÁM, Đá lát-Mặt đốt, cạnh cưa, vạt mép 3mm KT 50x50x4 SL:2 v/k</t>
  </si>
  <si>
    <t>BAZAN XÁM, Đá lát-Mặt đốt, cạnh cưa, đáy cưa KT 60x30x3 SL:60 v/k</t>
  </si>
  <si>
    <t>BAZAN XÁM, Đá lát-Mặt đốt chải, cạnh cưa, vạt mép 3mm KT 60x60x3 SL:13 v/k</t>
  </si>
  <si>
    <t>BAZAN XÁM, Đá lát-Mặt đốt chải, cạnh cưa, vạt mép 1mm KT 121.9x61x2 SL:18 v/k</t>
  </si>
  <si>
    <t>BAZAN XÁM, Đá lát-Mặt đốt chải, cạnh cưa, vạt mép 1mm KT 121.9x61x4 SL:10 v/k</t>
  </si>
  <si>
    <t>BAZAN XÁM, Đá lát-Mặt đốt, cạnh cưa, vạt mép 1mm KT 61x40.6x1.5 SL:68 v/k</t>
  </si>
  <si>
    <t>BAZAN XÁM, Đá lát-Mặt đốt, cạnh cưa, vạt mép 3mm KT 61x40.6x3 SL:34 v/k</t>
  </si>
  <si>
    <t>BAZAN XÁM, Đá lát-Mặt đốt chải, cạnh cưa KT 63.3x29.4x3 SL:33 v/k</t>
  </si>
  <si>
    <t>BAZAN XÁM, Đá lát-Mặt đốt chải, cạnh cưa KT 63.3x39.5x3 SL:33 v/k</t>
  </si>
  <si>
    <t>BAZAN XÁM, Đá lát-Mặt đốt chải, cạnh cưa KT 71.9x63.3x3 SL:27 v/k</t>
  </si>
  <si>
    <t>BAZAN XÁM, Đá lát-Mặt đốt chải, cạnh cưa KT 74.8x47.1x5 SL:10 v/k</t>
  </si>
  <si>
    <t>BAZAN XÁM, Đá lát-Mặt đốt chải, cạnh cưa KT 91x19.5x3 SL:33 v/k</t>
  </si>
  <si>
    <t>BAZAN XÁM, Đá lát-Mặt đốt chải, cạnh cưa KT 91x63.3x3 SL:27 v/k</t>
  </si>
  <si>
    <t>BAZAN XÁM, Đá lát-Mặt đốt chải, cạnh cưa KT 95.3x54.6x5 SL:10 v/k</t>
  </si>
  <si>
    <t>BAZAN XÁM, Đá lát-Mặt đốt chải, cạnh cưa KT 95.3x57.2x5 SL:10 v/k</t>
  </si>
  <si>
    <t>BAZAN XÁM, Đá lát-Mặt đốt chải, cạnh cưa KT 99.5x45.2x5 SL:10 v/k</t>
  </si>
  <si>
    <t>BAZAN XÁM, Đá lát-Mặt đốt, cạnh chẻ tay, đáy cưa KT 20-40x20-40x2 SL:10 v/k</t>
  </si>
  <si>
    <t>BAZAN XÁM, Đá lát-Mặt đốt, cạnh chẻ tay, đáy cưa KT 30x30x6 SL:84 v/k</t>
  </si>
  <si>
    <t>BAZAN XÁM, Đá lát-Mặt đốt, cạnh chẻ tay, đáy cưa KT 60x30x6 SL:42 v/k</t>
  </si>
  <si>
    <t>BAZAN XÁM, Đá lát-Mặt đốt, cạnh chẻ tay, đáy cưa KT 60x40x6 SL:28 v/k</t>
  </si>
  <si>
    <t>BAZAN XÁM, Đá lát-Mặt đốt, cạnh chẻ tay, đáy cưa KT 90x45x6 SL:16 v/k</t>
  </si>
  <si>
    <t>BAZAN XÁM, Đá lát-Mặt đốt, 1 cạnh ngắn đốt, các cạnh còn lại cưa, vạt mép 3mm KT 12.7x7.6x5 SL:60 v/k</t>
  </si>
  <si>
    <t>BAZAN XÁM, Đá lát-Mặt hon, vạt mép 1mm KT 106.7x45.7x2 SL:40 v/k</t>
  </si>
  <si>
    <t>BAZAN XÁM, Đá lát-Mặt hon, vạt mép 1mm KT 113.7x15.2x2 SL:60 v/k</t>
  </si>
  <si>
    <t>BAZAN XÁM, Đá lát-Mặt hon, 1 cạnh dài hon KT 113.7x29.8x2 SL:34 v/k</t>
  </si>
  <si>
    <t>BAZAN XÁM, Đá lát-Mặt hon, vạt mép 1mm KT 116.2x15.2x2 SL:60 v/k</t>
  </si>
  <si>
    <t>BAZAN XÁM, Đá lát-Mặt hon, 1 cạnh dài hon KT 116.2x29.8x2 SL:34 v/k</t>
  </si>
  <si>
    <t>BAZAN XÁM, Đá lát-Mặt hon, 1 cạnh dài hon KT 128.9x29.8x2 SL:34 v/k</t>
  </si>
  <si>
    <t>BAZAN XÁM, Đá lát-Mặt hon, 1 cạnh dài hon KT 131.4x29.8x2 SL:34 v/k</t>
  </si>
  <si>
    <t>BAZAN XÁM, Đá lát-Mặt hon, vạt mép 1mm KT 148.9x15.2x2 SL:60 v/k</t>
  </si>
  <si>
    <t>BAZAN XÁM, Đá lát-Mặt hon, vạt mép 1mm KT 151.4x15.2x2 SL:60 v/k</t>
  </si>
  <si>
    <t>BAZAN XÁM, Đá lát-Mặt hon, 1 cạnh dài hon KT 164.1x29.8x2 SL:34 v/k</t>
  </si>
  <si>
    <t>BAZAN XÁM, Đá lát-Mặt hon, 1 cạnh dài hon KT 166.7x29.8x2 SL:34 v/k</t>
  </si>
  <si>
    <t>BAZAN XÁM, Đá lát-Mặt hon KT 20x6x2 SL:40 v/k</t>
  </si>
  <si>
    <t>BAZAN XÁM, Đá lát-Mặt hon, vạt mép 1mm KT 30.5x30.5x1.2 SL:189 v/k</t>
  </si>
  <si>
    <t>BAZAN XÁM, Đá lát-Mặt hon, vạt mép 1mm KT 61x20.3x1.5 SL:82 v/k</t>
  </si>
  <si>
    <t>BAZAN XÁM, Đá lát-Mặt hon, vạt mép 1mm KT 61x27.9x1.5 SL:77 v/k</t>
  </si>
  <si>
    <t>BAZAN XÁM, Đá lát-Mặt hon, vạt mép 1mm KT 61x30.5x1.2 SL:140 v/k</t>
  </si>
  <si>
    <t>BAZAN XÁM, Đá lát-Mặt hon, cạnh cưa, vạt mép 1mm KT 61x30.5x1.5 SL:120 v/k</t>
  </si>
  <si>
    <t>BAZAN XÁM, Đá lát-Mặt hon, vạt mép 1mm KT 61x35.6x1.5 SL:88 v/k</t>
  </si>
  <si>
    <t>BAZAN XÁM, Đá lát-Mặt hon, vạt mép 1mm KT 61x45.7x1.5 SL:85 v/k</t>
  </si>
  <si>
    <t>BAZAN XÁM, Đá lát-Mặt hon, cạnh cưa, vạt mép 1mm KT 61x61x1.5 SL:60 v/k</t>
  </si>
  <si>
    <t>BAZAN XÁM, Đá lát-Mặt hon, vạt mép 1mm KT 81.3x45.7x2 SL:57 v/k</t>
  </si>
  <si>
    <t>BAZAN XÁM, Đá lát-Mặt hon KT 86.4x50.8x2 SL:60 v/k</t>
  </si>
  <si>
    <t>BAZAN XÁM, Đá lát-Mặt hon, vạt mép 1mm KT 91.4x45.7x2 SL:57 v/k</t>
  </si>
  <si>
    <t>BAZAN XÁM, Đá lát-Mặt hon, cạnh cưa, vạt mép 1mm KT 91.5x30.5x1.5 SL:84 v/k</t>
  </si>
  <si>
    <t>BAZAN XÁM, Đá lát-Mặt phun cát KT 20x6x2 SL:40 v/k</t>
  </si>
  <si>
    <t>BAZAN XÁM, Đá lát-Mặt băm KT 20x6x2 SL:40 v/k</t>
  </si>
  <si>
    <t>BAZAN XÁM, Đá tấm-Mặt đốt, cạnh cưa, vạt mép 1mm KT 154.9x15.2x3 SL:4 v/k</t>
  </si>
  <si>
    <t>BAZAN XÁM, Đá tấm-Mặt đốt, cạnh cưa, vạt mép 1mm KT 182.9x15.2x3 SL:4 v/k</t>
  </si>
  <si>
    <t>BAZAN XÁM, Đá tấm-Mặt hon, cạnh cưa, vạt mép 1mm KT 160x80x2 SL:14 v/k</t>
  </si>
  <si>
    <t>BAZAN XÁM, Đá tấm-Mặt hon KT 200x64x2 SL:20 v/k</t>
  </si>
  <si>
    <t>BAZAN XÁM, Đá vành-Cưa 2 mặt KT 50-60x50-60x3 SL:30 v/k</t>
  </si>
  <si>
    <t>BAZAN XÁM, Len chân tường-Mặt đốt, cạnh cưa, vạt mép 1mm KT 40x8x1.2 SL:54 v/k</t>
  </si>
  <si>
    <t>BAZAN XÁM, Len chân tường-Mặt đốt, cạnh cưa, vạt mép 2mm KT 50x8x2 SL:44 v/k</t>
  </si>
  <si>
    <t>BAZAN XÁM, Len chân tường-Mặt đốt, cạnh cưa, vạt mép 1mm KT 60x8x1.2 SL:54 v/k</t>
  </si>
  <si>
    <t>BAZAN XÁM, Len chân tường-Mặt đốt, cạnh cưa, vạt mép 2mm KT 65x8x2 SL:44 v/k</t>
  </si>
  <si>
    <t>BAZAN XÁM, Len chân tường-Mặt đốt, cạnh cưa, vạt mép 1mm KT 80x8x1.2 SL:54 v/k</t>
  </si>
  <si>
    <t>BAZAN XÁM, Len chân tường-Mặt đốt, cạnh cưa, vạt mép 2mm KT 80x8x2 SL:44 v/k</t>
  </si>
  <si>
    <t>BAZAN XÁM, Nắp tường rào-Mặt đốt, 2 cạnh dài đốt, vạt mép 2mm, 2 rãnh thoát nước dọc 2 cạnh dài 0.5 x 0.5cm cách mép 1cm KT 100x26.5x3 SL:44 v/k</t>
  </si>
  <si>
    <t>BAZAN XÁM, Nắp tường rào-Mặt đốt, 2 cạnh dài đốt, vạt mép 2mm, 2 rãnh thoát nước dọc 2 cạnh dài 0.5 x 0.5cm cách mép 1cm KT 160x26.5x3 SL:44 v/k</t>
  </si>
  <si>
    <t>BAZAN XÁM, Nắp tường rào-Mặt đốt, 2 cạnh dài đốt, vạt mép 2mm, 2 rãnh thoát nước dọc 2 cạnh dài 0.5 x 0.5cm cách mép 1cm KT 50x26.5x3 SL:44 v/k</t>
  </si>
  <si>
    <t>BAZAN XÁM, Ốp bậc thang-Mặt đốt, cạnh cưa, vạt mép 2mm KT 142x13.5x2 SL:44 v/k</t>
  </si>
  <si>
    <t>BAZAN XÁM, Ốp bậc thang-Mặt đốt, cạnh cưa, vạt mép 2mm KT 142x18.5x2 SL:44 v/k</t>
  </si>
  <si>
    <t>BAZAN XÁM, Ốp bậc thang-Mặt đốt, cạnh cưa, vạt mép 2mm KT 158x13.5x2 SL:44 v/k</t>
  </si>
  <si>
    <t>BAZAN XÁM, Ốp bậc thang-Mặt đốt, 1 cạnh dài đốt, còn lại cưa, vạt mép 2mm KT 142x34x3 SL:44 v/k</t>
  </si>
  <si>
    <t>BAZAN XÁM, Ốp bậc thang-Mặt đốt, 1 cạnh dài đốt, còn lại cưa, vạt mép 2mm, mặt sau cắt bỏ 2 mảnh (21x17x3cm và 23x17x3cm) KT 142x70x3 SL:44 v/k</t>
  </si>
  <si>
    <t>BAZAN XÁM, Ốp bậc thang-Mặt đốt, 1 cạnh dài đốt, còn lại cưa, vạt mép 2mm KT 145x68x3 SL:44 v/k</t>
  </si>
  <si>
    <t>BAZAN XÁM, Ốp bậc thang-Mặt đốt, 1 cạnh dài đốt, còn lại cưa, vạt mép 2mm KT 148x59x3 SL:44 v/k</t>
  </si>
  <si>
    <t>BAZAN XÁM, Tường rào-Chẻ tay tự nhiên KT 35x17x15 SL:72 v/k</t>
  </si>
  <si>
    <t>BAZAN XÁM, Tường rào-Chẻ tay tự nhiên KT 40x20x10 SL:60 v/k</t>
  </si>
  <si>
    <t>GRANITE ĐỎ, Cubic-Chẻ tay, tẩy đẹp 6 mặt KT 9x9x9 SL:500 v/k</t>
  </si>
  <si>
    <t>GRANITE ĐỎ, Cubic-Tẩy đẹp 6 mặt KT 19x9x9 SL:250 v/k</t>
  </si>
  <si>
    <t>GRANITE ĐỎ, Cubic-Tẩy đẹp 6 mặt KT 29x9x9 SL:180 v/k</t>
  </si>
  <si>
    <t>GRANITE ĐỎ, Cubic-Tẩy đẹp 6 mặt KT 9x9x4.5 SL:1000 v/k</t>
  </si>
  <si>
    <t>GRANITE ĐỎ, Cubic-Tẩy đẹp 6 mặt KT 9x9x9 SL:500 v/k</t>
  </si>
  <si>
    <t>GRANITE ĐỎ, Cubic-Mặt băm, cạnh chẻ tay, đáy cưa KT 14x14x6 SL:441 v/k</t>
  </si>
  <si>
    <t>GRANITE ĐỎ, Đá cây-6 mặt đốt KT 90x12x12 SL:30 v/k</t>
  </si>
  <si>
    <t>GRANITE ĐỎ, Đá lát-Mặt đốt, cạnh cưa, đáy cưa KT 30x30x3 SL:120 v/k</t>
  </si>
  <si>
    <t>GRANITE ĐỎ, Đá lát-Mặt đốt, cạnh cưa, đáy cưa KT 60x30x3 SL:60 v/k</t>
  </si>
  <si>
    <t>GRANITE ĐỎ, Đá lát-Mặt đốt, cạnh cưa, đáy cưa KT 60x40x3 SL:50 v/k</t>
  </si>
  <si>
    <t>GRANITE ĐỎ, Đá lát-Mặt đốt, cạnh cưa, đáy cưa KT 90x45x3 SL:30 v/k</t>
  </si>
  <si>
    <t>GRANITE HỒNG, Cubic-Tẩy đẹp 6 mặt KT 19x9x9 SL:250 v/k</t>
  </si>
  <si>
    <t>GRANITE HỒNG, Cubic-Tẩy đẹp 6 mặt KT 9x9x9 SL:500 v/k</t>
  </si>
  <si>
    <t>GRANITE HỒNG, Đá cây-2 mặt băm, cạnh tẩy tay KT 90x10x10 SL:40 v/k</t>
  </si>
  <si>
    <t>GRANITE TRẮNG, Cubic-Chẻ tay tự nhiên KT 10x10x5 SL:1000 v/k</t>
  </si>
  <si>
    <t>GRANITE TRẮNG, Cubic-Chẻ tay tự nhiên KT 20x10x7 SL:400 v/k</t>
  </si>
  <si>
    <t>GRANITE TRẮNG, Cubic-Chẻ tay, tẩy đẹp 6 mặt KT 19x9x9 SL:250 v/k</t>
  </si>
  <si>
    <t>GRANITE TRẮNG, Cubic-Chẻ tay, tẩy đẹp 6 mặt KT 9x9x9 SL:500 v/k</t>
  </si>
  <si>
    <t>GRANITE TRẮNG, Cubic-Tẩy đẹp 6 mặt KT 19x9x9 SL:250 v/k</t>
  </si>
  <si>
    <t>GRANITE TRẮNG, Cubic-Tẩy đẹp 6 mặt KT 29x9x9 SL:180 v/k</t>
  </si>
  <si>
    <t>GRANITE TRẮNG, Cubic-Tẩy đẹp 6 mặt KT 9x9x5 SL:1000 v/k</t>
  </si>
  <si>
    <t>GRANITE TRẮNG, Cubic-Tẩy đẹp 6 mặt KT 9x9x9 SL:500 v/k</t>
  </si>
  <si>
    <t>GRANITE TRẮNG, Cubic-Mặt tẩy đẹp, cạnh chẻ tay KT 9x9x3 SL:1500 v/k</t>
  </si>
  <si>
    <t>GRANITE TRẮNG, Đá cây-Tẩy đẹp 6 mặt KT 180x15x12 SL:15 v/k</t>
  </si>
  <si>
    <t>GRANITE TRẮNG, Đá cây-Tẩy đẹp 6 mặt KT 60x10x10 SL:60 v/k</t>
  </si>
  <si>
    <t>GRANITE TRẮNG, Đá cây-Tẩy đẹp 6 mặt KT 60x15x12 SL:40 v/k</t>
  </si>
  <si>
    <t>GRANITE TRẮNG, Đá cây-Tẩy đẹp 6 mặt KT 60x9x9 SL:80 v/k</t>
  </si>
  <si>
    <t>GRANITE TRẮNG, Đá cây-Tẩy đẹp 6 mặt KT 90x10x10 SL:40 v/k</t>
  </si>
  <si>
    <t>GRANITE TRẮNG, Đá cây-Tẩy đẹp 6 mặt KT 90x15x10 SL:30 v/k</t>
  </si>
  <si>
    <t>GRANITE TRẮNG, Đá cây-Tẩy đẹp 6 mặt KT 90x15x12 SL:30 v/k</t>
  </si>
  <si>
    <t>GRANITE TRẮNG, Đá cây-2 mặt băm, cạnh tẩy tay KT 180x20x10 SL:10 v/k</t>
  </si>
  <si>
    <t>GRANITE TRẮNG, Đá cây-2 mặt băm, cạnh tẩy tay KT 180x24x12 SL:8 v/k</t>
  </si>
  <si>
    <t>GRANITE TRẮNG, Đá cây-2 mặt băm, cạnh tẩy tay KT 90x15x10 SL:30 v/k</t>
  </si>
  <si>
    <t>GRANITE TRẮNG, Đá cây-Mặt đốt, 1 cạnh dài đốt, các cạnh còn lại cưa, vạt mép cạnh dài 3mm KT 60x12x10 SL:60 v/k</t>
  </si>
  <si>
    <t>GRANITE TRẮNG, Đá lát-Tẩy đẹp 5 mặt KT 30x30x6 SL:72 v/k</t>
  </si>
  <si>
    <t>GRANITE TRẮNG, Đá lát-Tẩy đẹp 5 mặt KT 60x30x5 SL:48 v/k</t>
  </si>
  <si>
    <t>GRANITE TRẮNG, Đá lát-Tẩy đẹp 5 mặt KT 60x30x6 SL:36 v/k</t>
  </si>
  <si>
    <t>GRANITE TRẮNG, Đá lát-Tẩy đẹp 5 mặt KT 60x40x6 SL:28 v/k</t>
  </si>
  <si>
    <t>GRANITE TRẮNG, Đá lát-Tẩy đẹp 5 mặt KT 80x40x6 SL:21 v/k</t>
  </si>
  <si>
    <t>GRANITE TRẮNG, Đá lát-Tẩy đẹp 5 mặt KT 90x45x7 SL:14 v/k</t>
  </si>
  <si>
    <t>GRANITE TRẮNG, Đá lát-Mặt băm, cạnh tẩy đẹp, đáy cưa KT 90x45x6 SL:14 v/k</t>
  </si>
  <si>
    <t>GRANITE TRẮNG, Đá vành-Mặt tẩy đẹp, mép trên bo tròn r=2.5cm tẩy đẹp, cạnh chẻ tay, đáy cưa KT 40x40x7 SL:40 v/k</t>
  </si>
  <si>
    <t>GRANITE VÀNG, Bậc thang-4 mặt băm, 5 cạnh bo tròn, cạnh còn lại cưa KT 45x35x30 SL:8 v/k</t>
  </si>
  <si>
    <t>GRANITE VÀNG, Bo vỉa hè-Chẻ tay tự nhiên KT 30x15x10 SL:126 v/k</t>
  </si>
  <si>
    <t>GRANITE VÀNG, Cubic-Chẻ tay tự nhiên KT 20x10x7 SL:400 v/k</t>
  </si>
  <si>
    <t>GRANITE VÀNG, Cubic-Tẩy đẹp 6 mặt KT 19x9x9 SL:250 v/k</t>
  </si>
  <si>
    <t>GRANITE VÀNG, Cubic-Tẩy đẹp 6 mặt KT 29x9x9 SL:180 v/k</t>
  </si>
  <si>
    <t>GRANITE VÀNG, Cubic-Tẩy đẹp 6 mặt KT 9x9x4.5 SL:1000 v/k</t>
  </si>
  <si>
    <t>GRANITE VÀNG, Cubic-Tẩy đẹp 6 mặt KT 9x9x9 SL:500 v/k</t>
  </si>
  <si>
    <t>GRANITE VÀNG, Đá cây-Tẩy đẹp 5 mặt KT 150x30x7 SL:12 v/k</t>
  </si>
  <si>
    <t>GRANITE VÀNG, Đá cây-Tẩy đẹp 5 mặt KT 180x30x7 SL:10 v/k</t>
  </si>
  <si>
    <t>GRANITE VÀNG, Đá cây-Tẩy đẹp 5 mặt KT 210x30x7 SL:8 v/k</t>
  </si>
  <si>
    <t>GRANITE VÀNG, Đá cây-Tẩy đẹp 6 mặt KT 180x15x12 SL:15 v/k</t>
  </si>
  <si>
    <t>GRANITE VÀNG, Đá cây-Tẩy đẹp 6 mặt KT 50x15x10 SL:60 v/k</t>
  </si>
  <si>
    <t>GRANITE VÀNG, Đá cây-Tẩy đẹp 6 mặt KT 60x10x10 SL:60 v/k</t>
  </si>
  <si>
    <t>GRANITE VÀNG, Đá cây-Tẩy đẹp 6 mặt KT 60x15x12 SL:40 v/k</t>
  </si>
  <si>
    <t>GRANITE VÀNG, Đá cây-Tẩy đẹp 6 mặt KT 60x9x9 SL:80 v/k</t>
  </si>
  <si>
    <t>GRANITE VÀNG, Đá cây-Tẩy đẹp 6 mặt KT 90x10x10 SL:40 v/k</t>
  </si>
  <si>
    <t>GRANITE VÀNG, Đá cây-Tẩy đẹp 6 mặt KT 90x15x12 SL:30 v/k</t>
  </si>
  <si>
    <t>GRANITE VÀNG, Đá cây-Cưa lột tay KT 100x25x10 SL:18 v/k</t>
  </si>
  <si>
    <t>GRANITE VÀNG, Đá cây-Cưa lột tay KT 100x25x10 SL:20 v/k</t>
  </si>
  <si>
    <t>GRANITE VÀNG, Đá cây-Cưa lột tay KT 125x25x10 SL:16 v/k</t>
  </si>
  <si>
    <t>GRANITE VÀNG, Đá cây-Cưa lột tay KT 150x25x10 SL:14 v/k</t>
  </si>
  <si>
    <t>GRANITE VÀNG, Đá cây-Cưa lột tay KT 150x25x10 SL:16 v/k</t>
  </si>
  <si>
    <t>GRANITE VÀNG, Đá cây-Cưa lột tay KT 200x25x10 SL:10 v/k</t>
  </si>
  <si>
    <t>GRANITE VÀNG, Đá cây-Cưa lột tay KT 250x25x10 SL:8 v/k</t>
  </si>
  <si>
    <t>GRANITE VÀNG, Đá cây-Cưa lột tay KT 50x25x10 SL:36 v/k</t>
  </si>
  <si>
    <t>GRANITE VÀNG, Đá cây-Cưa lột tay KT 75x25x10 SL:20 v/k</t>
  </si>
  <si>
    <t>GRANITE VÀNG, Đá cây-2 mặt băm, cạnh tẩy tay KT 90x10x10 SL:42 v/k</t>
  </si>
  <si>
    <t>GRANITE VÀNG, Đá lát-Tẩy đẹp 5 mặt KT 30x30x6 SL:72 v/k</t>
  </si>
  <si>
    <t>GRANITE VÀNG, Đá lát-Tẩy đẹp 5 mặt KT 60x30x6 SL:36 v/k</t>
  </si>
  <si>
    <t>GRANITE VÀNG, Đá lát-Tẩy đẹp 5 mặt KT 60x30x7 SL:36 v/k</t>
  </si>
  <si>
    <t>GRANITE VÀNG, Đá lát-Tẩy đẹp 5 mặt KT 60x40x6 SL:28 v/k</t>
  </si>
  <si>
    <t>GRANITE VÀNG, Đá lát-Tẩy đẹp 5 mặt KT 90x45x7 SL:14 v/k</t>
  </si>
  <si>
    <t>GRANITE VÀNG, Đá lát-Mặt băm, cạnh tẩy đẹp, đáy cưa KT 90x45x7 SL:16 v/k</t>
  </si>
  <si>
    <t>GRANITE VÀNG, Đá lát-Mặt băm, cạnh tẩy đẹp, đáy cưa KT 90x60x8 SL:10 v/k</t>
  </si>
  <si>
    <t>GRANITE VÀNG, Đá lát-Mặt đốt, cạnh cưa, đáy cưa KT 30x30x3 SL:100 v/k</t>
  </si>
  <si>
    <t>GRANITE VÀNG, Đá vành-Mặt băm, mép trên bo tròn, cạnh chẻ tay, đáy cưa  KT 45-50x45-50x8 SL:20 v/k</t>
  </si>
  <si>
    <t>GRANITE XÁM, Bậc thang-Tẩy đẹp 6 mặt KT 200x33x15 SL:4 v/k</t>
  </si>
  <si>
    <t>GRANITE XÁM, Bậc thang-6 mặt đốt, vạt mép cạnh dài 5mm, vạt mép cạnh ngắn 3mm KT 100x30x16 SL:9 v/k</t>
  </si>
  <si>
    <t>GRANITE XÁM, Bậc thang-6 mặt đốt, vạt mép cạnh dài 5mm, vạt mép cạnh ngắn 3mm KT 100x35x15 SL:10 v/k</t>
  </si>
  <si>
    <t>GRANITE XÁM, Bậc thang-6 mặt đốt, vạt mép cạnh dài 5mm, vạt mép cạnh ngắn 3mm KT 100x35x15 SL:8 v/k</t>
  </si>
  <si>
    <t>GRANITE XÁM, Bậc thang-6 mặt đốt, vạt mép cạnh dài 5mm, vạt mép cạnh ngắn 3mm KT 120x35x15 SL:8 v/k</t>
  </si>
  <si>
    <t>GRANITE XÁM, Bậc thang-6 mặt đốt, vạt mép cạnh dài 5mm, vạt mép cạnh ngắn 3mm KT 125x30x16 SL:6 v/k</t>
  </si>
  <si>
    <t>GRANITE XÁM, Bậc thang-6 mặt đốt, vạt mép cạnh dài 5mm, vạt mép cạnh ngắn 3mm KT 150x30x16 SL:6 v/k</t>
  </si>
  <si>
    <t>GRANITE XÁM, Bậc thang-6 mặt đốt, vạt mép cạnh dài 5mm, vạt mép cạnh ngắn 3mm KT 150x35x15 SL:5 v/k</t>
  </si>
  <si>
    <t>GRANITE XÁM, Bậc thang-6 mặt đốt, vạt mép cạnh dài 5mm, vạt mép cạnh ngắn 3mm KT 150x35x15 SL:6 v/k</t>
  </si>
  <si>
    <t>GRANITE XÁM, Bậc thang-6 mặt đốt, vạt mép cạnh dài 5mm, vạt mép cạnh ngắn 3mm KT 60x35x15 SL:16 v/k</t>
  </si>
  <si>
    <t>GRANITE XÁM, Bậc thang-6 mặt đốt, vạt mép cạnh dài 5mm, vạt mép cạnh ngắn 3mm KT 80x35x15 SL:12 v/k</t>
  </si>
  <si>
    <t>GRANITE XÁM, Bo tường rào-Mặt đốt, 1 cạnh dài đốt, vạt mép 5mm KT 60x20x6 SL:48 v/k</t>
  </si>
  <si>
    <t>GRANITE XÁM, Cubic-Chẻ tay, tẩy đẹp 6 mặt KT 19x9x9 SL:250 v/k</t>
  </si>
  <si>
    <t>GRANITE XÁM, Cubic-Chẻ tay, tẩy đẹp 6 mặt KT 9x9x5 SL:1000 v/k</t>
  </si>
  <si>
    <t>GRANITE XÁM, Cubic-Chẻ tay, tẩy đẹp 6 mặt KT 9x9x9 SL:500 v/k</t>
  </si>
  <si>
    <t>GRANITE XÁM, Cubic-Tẩy đẹp 6 mặt KT 19x9x9 SL:250 v/k</t>
  </si>
  <si>
    <t>GRANITE XÁM, Cubic-Tẩy đẹp 6 mặt KT 29x9x9 SL:180 v/k</t>
  </si>
  <si>
    <t>GRANITE XÁM, Cubic-Mặt đốt, cạnh chẻ tay, đáy cưa KT 10x10x3 SL:1980 v/k</t>
  </si>
  <si>
    <t>GRANITE XÁM, Cubic-Mặt đốt, cạnh chẻ tay, đáy cưa KT 10x10x6 SL:900 v/k</t>
  </si>
  <si>
    <t>GRANITE XÁM, Đá lát-Tẩy đẹp 5 mặt KT 60x30x6 SL:36 v/k</t>
  </si>
  <si>
    <t>GRANITE XÁM, Đá cây-Tẩy đẹp 5 mặt KT 60x40x6 SL:28 v/k</t>
  </si>
  <si>
    <t>GRANITE XÁM, Đá cây-Mặt đốt, 1 cạnh dài bo tròn R=20mm đốt, các cạnh còn lại cưa KT 100x20x8 SL:24 v/k</t>
  </si>
  <si>
    <t>GRANITE XÁM, Đá cây-6 mặt đốt, vạt mép 3mm KT 100x25x10 SL:20 v/k</t>
  </si>
  <si>
    <t>GRANITE XÁM, Đá cây-6 mặt đốt, vạt mép 3mm KT 100x25x6 SL:32 v/k</t>
  </si>
  <si>
    <t>GRANITE XÁM, Đá cây-6 mặt đốt, vạt mép 5mm KT 100x25x8 SL:20 v/k</t>
  </si>
  <si>
    <t>GRANITE XÁM, Đá cây-6 mặt đốt, vạt mép 3mm KT 100x25x8 SL:24 v/k</t>
  </si>
  <si>
    <t>GRANITE XÁM, Đá cây-6 mặt đốt, vạt mép 5mm KT 120x25x10 SL:14 v/k</t>
  </si>
  <si>
    <t>GRANITE XÁM, Đá cây-6 mặt đốt, vạt mép 3mm KT 120x25x10 SL:18 v/k</t>
  </si>
  <si>
    <t>GRANITE XÁM, Đá cây-6 mặt đốt, vạt mép 5mm KT 125x25x8 SL:18 v/k</t>
  </si>
  <si>
    <t>GRANITE XÁM, Đá cây-6 mặt đốt, vạt mép 3mm KT 150x25x10 SL:14 v/k</t>
  </si>
  <si>
    <t>GRANITE XÁM, Đá cây-6 mặt đốt, vạt mép 5mm KT 150x25x8 SL:16 v/k</t>
  </si>
  <si>
    <t>GRANITE XÁM, Đá cây-6 mặt đốt, vạt mép 3mm KT 180x25x10 SL:12 v/k</t>
  </si>
  <si>
    <t>GRANITE XÁM, Đá cây-6 mặt đốt, vạt mép 3mm KT 200x25x10 SL:10 v/k</t>
  </si>
  <si>
    <t>GRANITE XÁM, Đá cây-6 mặt đốt, vạt mép 3mm KT 250x25x10 SL:8 v/k</t>
  </si>
  <si>
    <t>GRANITE XÁM, Đá cây-6 mặt đốt, vạt mép 3mm KT 40x25x10 SL:40 v/k</t>
  </si>
  <si>
    <t>GRANITE XÁM, Đá cây-6 mặt đốt, vạt mép 5mm KT 50x25x8 SL:48 v/k</t>
  </si>
  <si>
    <t>GRANITE XÁM, Đá cây-6 mặt đốt, vạt mép 5mm KT 60x25x10 SL:28 v/k</t>
  </si>
  <si>
    <t>GRANITE XÁM, Đá cây-6 mặt đốt, vạt mép 3mm KT 60x25x10 SL:36 v/k</t>
  </si>
  <si>
    <t>GRANITE XÁM, Đá cây-6 mặt đốt, vạt mép 5mm KT 75x25x8 SL:28 v/k</t>
  </si>
  <si>
    <t>GRANITE XÁM, Đá cây-6 mặt đốt, vạt mép 3mm KT 80x25x10 SL:24 v/k</t>
  </si>
  <si>
    <t>GRANITE XÁM, Đá lát-Mặt đốt chải, cạnh cưa, vạt mép 3mm KT 100x100x3 SL:14 v/k</t>
  </si>
  <si>
    <t>GRANITE XÁM, Đá lát-Mặt đốt chải 2 lần, 1 cạnh dài bo tròn R=1.5cm đốt chải 2 lần KT 100x35x3 SL:30 v/k</t>
  </si>
  <si>
    <t>GRANITE XÁM, Đá lát-Mặt đốt chải, cạnh cưa, vạt mép 3mm KT 100x50x3 SL:24 v/k</t>
  </si>
  <si>
    <t>GRANITE XÁM, Đá lát-Mặt đốt chải 1 lần, cạnh cưa, vạt mép 3mm KT 40x40x3 SL:100 v/k</t>
  </si>
  <si>
    <t>GRANITE XÁM, Đá lát-Mặt đốt chải, cạnh cưa, vạt mép 3mm KT 50x50x2 SL:50 v/k</t>
  </si>
  <si>
    <t>GRANITE XÁM, Đá lát-Mặt đốt chải, cạnh cưa, vạt mép 3mm KT 50x50x3 SL:34 v/k</t>
  </si>
  <si>
    <t>GRANITE XÁM, Đá lát-Mặt đốt chải, cạnh cưa KT 60x40x2 SL:50 v/k</t>
  </si>
  <si>
    <t>GRANITE XÁM, Đá lát-Mặt đốt chải, cạnh cưa KT 60x40x3 SL:34 v/k</t>
  </si>
  <si>
    <t>GRANITE XÁM, Đá lát-Mặt đốt chải 1 lần, cạnh cưa, vạt mép 3mm KT 60x40x3 SL:68 v/k</t>
  </si>
  <si>
    <t>GRANITE XÁM, Đá lát-Mặt đốt chải 1 lần, cạnh cưa, vạt mép 3mm KT 60x60x3 SL:34 v/k</t>
  </si>
  <si>
    <t>GRANITE XÁM, Đá lát-Mặt đốt chải 2 lần, cạnh cưa KT 70x50x3 SL:34 v/k</t>
  </si>
  <si>
    <t>GRANITE XÁM, Đá lát-Mặt đốt chải 1 lần, cạnh cưa, vạt mép 3mm KT 80x40x3 SL:52 v/k</t>
  </si>
  <si>
    <t>GRANITE XÁM, Đá lát-Mặt đốt chải 1 lần, cạnh cưa, vạt mép 3mm KT 90x60x3 SL:25 v/k</t>
  </si>
  <si>
    <t>GRANITE XÁM, Nắp tường rào-Mặt đốt, 2 cạnh dài hon, 2 rãnh thoát nước dọc 2 cạnh dài 0.5x0.5cm cách mép 1.5cm, vạt mép 4 cạnh dài 3mm KT 100x25x4 SL:25 v/k</t>
  </si>
  <si>
    <t>GRANITE XÁM, Nắp tường rào-Mặt đốt, 2 cạnh dài hon, 2 rãnh thoát nước dọc 2 cạnh dài 0.5x0.5cm cách mép 1.5cm, vạt mép 4 cạnh dài 3mm KT 100x30x4 SL:25 v/k</t>
  </si>
  <si>
    <t>GRANITE XÁM, Nắp tường rào-Mặt đốt, 2 cạnh dài hon, 2 rãnh thoát nước dọc 2 cạnh dài 0.5x0.5cm cách mép 1.5cm, vạt mép 4 cạnh dài 3mm KT 100x35x4 SL:25 v/k</t>
  </si>
  <si>
    <t>GRANITE XÁM, Nắp tường rào-Mặt đốt, 2 cạnh dài hon, 2 rãnh thoát nước dọc 2 cạnh dài 0.5x0.5cm cách mép 1.5cm, vạt mép 4 cạnh dài 3mm KT 100x40x4 SL:25 v/k</t>
  </si>
  <si>
    <t>GRANITE XÁM, Nắp tường rào-Mặt đốt, cạnh đốt, đáy cưa, 4 rãnh thoát nước dọc theo cạnh 0.5x0.5cm cách mép 1.5cm KT 55x55x10 SL:6 v/k</t>
  </si>
  <si>
    <t>GRANITE XÁM, Nắp tường rào-Mặt đốt, cạnh chẻ tay, đáy cưa, 4 rãnh thoát nước dọc theo cạnh 0.5x0.5cm cách mép 1.5cm KT 55x55x8 SL:4 v/k</t>
  </si>
  <si>
    <t>GRANITE XÁM, Nắp tường rào-Mặt đốt, 2 cạnh dài hon, 2 rãnh thoát nước dọc 2 cạnh dài 0.5x0.5cm cách mép 1.5cm, vạt mép 4 cạnh dài 3mm KT 60x30x3 SL:34 v/k</t>
  </si>
  <si>
    <t>GRANITE XÁM, Nắp tường rào-Mặt đốt, 2 cạnh dài hon, 2 rãnh thoát nước dọc 2 cạnh dài 0.5x0.5cm cách mép 1.5cm, vạt mép 4 cạnh dài 3mm KT 60x35x3 SL:34 v/k</t>
  </si>
  <si>
    <t>GRANITE XÁM, Ốp bậc thang-Mặt đốt, 1 cạnh dài hon, vạt mép 3mm KT 120x35x3 SL:25 v/k</t>
  </si>
  <si>
    <t>GRANITE XÁM, Ốp bậc thang-Mặt hon, cạnh cưa KT 120x14.5x2 SL:50 v/k</t>
  </si>
  <si>
    <t>GRANITE XÁM, Ốp bậc thang-Mặt hon, cạnh cưa KT 120x14.5x3 SL:50 v/k</t>
  </si>
  <si>
    <t>NO</t>
  </si>
  <si>
    <t>BD03DOT3-10002080</t>
  </si>
  <si>
    <t>LỆNH TRIỂN KHAI SẢN XUẤT</t>
  </si>
  <si>
    <t>CTY CP KHOÁNG SẢN VẬT LIỆU Á CỘNG</t>
  </si>
  <si>
    <t>Số lệnh:</t>
  </si>
  <si>
    <t>Ngày soạn lệnh:</t>
  </si>
  <si>
    <t>Lần soạn lệnh:</t>
  </si>
  <si>
    <t>1A Tầng 4, Broadway B</t>
  </si>
  <si>
    <t>140421 (21/N-X59821)</t>
  </si>
  <si>
    <t>102 Nguyễn Lương Bằng, P.Tân Phú, Q.7</t>
  </si>
  <si>
    <t>Cảng xuất hàng:</t>
  </si>
  <si>
    <t>Cảng dỡ hàng:</t>
  </si>
  <si>
    <t>Ghi chú trên chứng từ:</t>
  </si>
  <si>
    <t>Tp.HCM</t>
  </si>
  <si>
    <t>Cảng Qui Nhơn</t>
  </si>
  <si>
    <t>Yokohama</t>
  </si>
  <si>
    <t>Tel: 5 412 2189 / Fax: 5 413 6218</t>
  </si>
  <si>
    <t>Chất lượng:</t>
  </si>
  <si>
    <t>Hãng tàu/FWD:</t>
  </si>
  <si>
    <t>Cước tàu:</t>
  </si>
  <si>
    <t>theo chuẩn chất lượng đi Nhật</t>
  </si>
  <si>
    <t>C&amp;F Yokohama</t>
  </si>
  <si>
    <t>STT</t>
  </si>
  <si>
    <t>TÊN HÀNG</t>
  </si>
  <si>
    <t>KÍCH CỠ (cm)</t>
  </si>
  <si>
    <t>SỐ LƯỢNG</t>
  </si>
  <si>
    <t>Qui cách đóng gói</t>
  </si>
  <si>
    <t>GHI CHÚ</t>
  </si>
  <si>
    <t>THỜI GIAN GIAO HÀNG</t>
  </si>
  <si>
    <t>Dài</t>
  </si>
  <si>
    <t>Rộng</t>
  </si>
  <si>
    <t>Cao</t>
  </si>
  <si>
    <t>Viên</t>
  </si>
  <si>
    <t>Đơn vị</t>
  </si>
  <si>
    <t>Kiện</t>
  </si>
  <si>
    <t>m3</t>
  </si>
  <si>
    <t>Tons</t>
  </si>
  <si>
    <t>Cont</t>
  </si>
  <si>
    <r>
      <t xml:space="preserve">Đá cây bazan - 
</t>
    </r>
    <r>
      <rPr>
        <sz val="11"/>
        <rFont val="Arial"/>
        <family val="2"/>
      </rPr>
      <t>2 mặt đốt, cạnh sộ tay (tiêu chuẩn đi Nhật)</t>
    </r>
  </si>
  <si>
    <t>pcs</t>
  </si>
  <si>
    <t>Hàng tiêu chuẩn đi Nhật</t>
  </si>
  <si>
    <t>Giao hàng  tháng 5/2021</t>
  </si>
  <si>
    <r>
      <t>Đá vành Bazan -</t>
    </r>
    <r>
      <rPr>
        <sz val="11"/>
        <rFont val="Arial"/>
        <family val="2"/>
      </rPr>
      <t xml:space="preserve"> 
Mặt đốt, xung quanh da đá tự nhiên, đáy cưa. </t>
    </r>
    <r>
      <rPr>
        <sz val="11"/>
        <color rgb="FFFF0000"/>
        <rFont val="Arial"/>
        <family val="2"/>
      </rPr>
      <t>Tương tự LSX 260318. Xem hình ảnh bên dưới</t>
    </r>
  </si>
  <si>
    <t>Đường kính
30-40</t>
  </si>
  <si>
    <t>Tổng</t>
  </si>
  <si>
    <r>
      <t>GHI CHÚ KHÁC</t>
    </r>
    <r>
      <rPr>
        <sz val="11"/>
        <color rgb="FFFF0000"/>
        <rFont val="Arial"/>
        <family val="2"/>
      </rPr>
      <t>:</t>
    </r>
  </si>
  <si>
    <t>Người soạn lệnh</t>
  </si>
  <si>
    <t>Bích Nguyễn</t>
  </si>
  <si>
    <t>MÃ SẢN PHẨM</t>
  </si>
  <si>
    <t>BX03DOT1-09001100</t>
  </si>
  <si>
    <t>BX01DOT1-04003060</t>
  </si>
  <si>
    <t>Đá Vành</t>
  </si>
  <si>
    <t>BAZAN XÁM, Đá cây-2 Mặt đốt, Cạnh còn lại sộ tay KT 90x10x10 SL:40 v/k</t>
  </si>
  <si>
    <t>BAZAN XÁM, Đá vành-Mặt đốt, cạnh da đá, đáy cưa KT 30-40x30-40x6 SL: 64 v/k</t>
  </si>
  <si>
    <t>1A Tầng 4, Broadway A</t>
  </si>
  <si>
    <t>130421 (01/A-X23.2/21)</t>
  </si>
  <si>
    <t>100 Nguyễn Lương Bằng, P.Tân Phú, Q.7</t>
  </si>
  <si>
    <t>Cảng Quy Nhơn</t>
  </si>
  <si>
    <t>ROTTERDAM</t>
  </si>
  <si>
    <t>Theo chuẩn chất lượng đi Châu Âu</t>
  </si>
  <si>
    <t>FOB</t>
  </si>
  <si>
    <t>KÍCH CỠ (CM)</t>
  </si>
  <si>
    <t>Dày</t>
  </si>
  <si>
    <t>M2</t>
  </si>
  <si>
    <t>CONTAINER</t>
  </si>
  <si>
    <r>
      <t xml:space="preserve">Đá bazan Cubic                                </t>
    </r>
    <r>
      <rPr>
        <sz val="11"/>
        <color indexed="56"/>
        <rFont val="Arial"/>
        <family val="2"/>
      </rPr>
      <t>Chẻ tay tự nhiên</t>
    </r>
  </si>
  <si>
    <t>Giao hàng Tháng 5/2021</t>
  </si>
  <si>
    <r>
      <t xml:space="preserve">Đá lát bazan 
</t>
    </r>
    <r>
      <rPr>
        <sz val="11"/>
        <color indexed="56"/>
        <rFont val="Arial"/>
        <family val="2"/>
      </rPr>
      <t xml:space="preserve">Chẻ tay tự nhiên. 
</t>
    </r>
    <r>
      <rPr>
        <sz val="11"/>
        <color indexed="10"/>
        <rFont val="Arial"/>
        <family val="2"/>
      </rPr>
      <t>Dung sai của độ dày</t>
    </r>
    <r>
      <rPr>
        <sz val="11"/>
        <color indexed="56"/>
        <rFont val="Arial"/>
        <family val="2"/>
      </rPr>
      <t xml:space="preserve"> </t>
    </r>
    <r>
      <rPr>
        <sz val="11"/>
        <color indexed="10"/>
        <rFont val="Calibri"/>
        <family val="2"/>
      </rPr>
      <t xml:space="preserve">± </t>
    </r>
    <r>
      <rPr>
        <sz val="11"/>
        <color indexed="10"/>
        <rFont val="Arial"/>
        <family val="2"/>
      </rPr>
      <t>3mm</t>
    </r>
  </si>
  <si>
    <t>Tổng cộng:</t>
  </si>
  <si>
    <t>GHI CHÚ KHÁC:</t>
  </si>
  <si>
    <t>BX01CTA1-03002060</t>
  </si>
  <si>
    <t>BAZAN XÁM, Đá Lát-Chẻ tay tự nhiên KT 30x20x6 SL: 120 v/k</t>
  </si>
  <si>
    <t xml:space="preserve">Số lệnh: </t>
  </si>
  <si>
    <t xml:space="preserve">110421 (03/A-X87/21) </t>
  </si>
  <si>
    <t xml:space="preserve"> Qui Nhon port </t>
  </si>
  <si>
    <t>OAKLAND, CA, USA</t>
  </si>
  <si>
    <t>Theo tiêu chuẩn xuất khẩu trong kiện gỗ</t>
  </si>
  <si>
    <t>Dài 
(cm)</t>
  </si>
  <si>
    <t>Rộng
(cm)</t>
  </si>
  <si>
    <t>Dày
(cm)</t>
  </si>
  <si>
    <t>Số Viên</t>
  </si>
  <si>
    <t>Số Kiện</t>
  </si>
  <si>
    <t>m2</t>
  </si>
  <si>
    <t>Ton</t>
  </si>
  <si>
    <t>Giao hàng đầu tháng 6/2021</t>
  </si>
  <si>
    <r>
      <t xml:space="preserve">Đá lát Bazan xám
</t>
    </r>
    <r>
      <rPr>
        <sz val="11"/>
        <rFont val="Arial"/>
        <family val="2"/>
      </rPr>
      <t>Mặt đốt, cạnh cưa, vạt mép 3mm
 24" x 16" x 1-3/16"</t>
    </r>
  </si>
  <si>
    <t>Nguyên liệu mỏ số 6 - Gia Lai</t>
  </si>
  <si>
    <r>
      <t xml:space="preserve">Đá lát Bazan xám
</t>
    </r>
    <r>
      <rPr>
        <sz val="11"/>
        <rFont val="Arial"/>
        <family val="2"/>
      </rPr>
      <t>Cưa và đốt tất cả các mặt, vạt mép 3mm
24" x 16" x 2"</t>
    </r>
  </si>
  <si>
    <r>
      <rPr>
        <b/>
        <sz val="11"/>
        <rFont val="Arial"/>
        <family val="2"/>
      </rPr>
      <t>Đá slab Bazan xám</t>
    </r>
    <r>
      <rPr>
        <sz val="11"/>
        <rFont val="Arial"/>
        <family val="2"/>
      </rPr>
      <t xml:space="preserve">
Mặt đốt
80" x 26" x 1-3/16"</t>
    </r>
  </si>
  <si>
    <t>200-220</t>
  </si>
  <si>
    <t>64-68</t>
  </si>
  <si>
    <r>
      <t xml:space="preserve">Đá slab Bazan đen
</t>
    </r>
    <r>
      <rPr>
        <sz val="11"/>
        <rFont val="Arial"/>
        <family val="2"/>
      </rPr>
      <t>Mặt honed
80" x 26" x 3/4"</t>
    </r>
  </si>
  <si>
    <t>Nguyên liệu mỏ số 5</t>
  </si>
  <si>
    <t>Tốt Huê</t>
  </si>
  <si>
    <t>BX08DOT1-22006030</t>
  </si>
  <si>
    <t>BAZAN XÁM, Đá Tấm-Mặt đốt KT 200-220x64-68x3 SL: 11 v/k</t>
  </si>
  <si>
    <t>BD08DOT1-22006020</t>
  </si>
  <si>
    <t>BAZAN ĐEN, Đá Tấm-Mặt đốt KT 200-220x64-68x2 SL: 20 v/k</t>
  </si>
  <si>
    <t>MÁ SP</t>
  </si>
  <si>
    <t>BAZAN ĐEN, Đá lát-Mặt đốt xịt nước, cạnh cưa, vạt mép 3mm KT 14-18-22x12x6 SL:192 v/k 64v Mỗi loại</t>
  </si>
  <si>
    <t>BLUESTONE, Đá bộ-Giả cổ rung bộ KT 19.5-60x19.5-40x2 SL:132 v/k (19.5x19.5=44, 39.7x19.5=22, 40x40=44, 60x40=22 v)</t>
  </si>
  <si>
    <t>BLUESTONE, Đá bộ-Giả cổ rung bộ KT 20-30-40x20x6 SL:80 v/k (20=20, 30=30, 40=30 v)</t>
  </si>
  <si>
    <t>BLUESTONE, Đá bộ-Giả cổ tay bộ KT 19.5-60x19.5-40x2.5 SL:108 v/k (19.5x19.5=36, 39.7x19.5=18, 40x40=36, 60x40=18 v)</t>
  </si>
  <si>
    <t>BLUESTONE, Đá bộ-Giả cổ tay bộ KT 29.7-60x29.7-60x3 SL:50 v/k (60x60=20, 60x29.7=10, 29.7x29.7=20 v)</t>
  </si>
  <si>
    <t>BAZAN XÁM, Đá bộ-2 cạnh dài chẻ tay tự nhiên, còn lại cưa KT 30-45-60x20x15 SL:30 v/k(30=10, 45=10, 60=10 v)</t>
  </si>
  <si>
    <t>BAZAN XÁM, Đá bộ-2 cạnh dài chẻ tay tự nhiên, còn lại cưa KT 30-45-60x20x22.5 SL:21 v/k (30=8, 45=7, 60=6 v)</t>
  </si>
  <si>
    <t>BAZAN XÁM, Đá bộ-2 cạnh dài chẻ tay tự nhiên, còn lại cưa KT 30-45-60x20x7.5 SL:60 v/k (30=20, 45=20, 60=20v)</t>
  </si>
  <si>
    <t>Crate</t>
  </si>
  <si>
    <t>No</t>
  </si>
  <si>
    <t>Product_Code</t>
  </si>
  <si>
    <t>Type1</t>
  </si>
  <si>
    <t>Type2</t>
  </si>
  <si>
    <t>Description</t>
  </si>
  <si>
    <t>Long</t>
  </si>
  <si>
    <t>Width</t>
  </si>
  <si>
    <t>High</t>
  </si>
  <si>
    <t>PeciesPerCrate</t>
  </si>
  <si>
    <t>WeightRate</t>
  </si>
  <si>
    <t>Remarks</t>
  </si>
  <si>
    <t>OtherRate</t>
  </si>
  <si>
    <t>Dung sai của độ dày ± 3mm</t>
  </si>
  <si>
    <t>MB</t>
  </si>
  <si>
    <t>MT</t>
  </si>
  <si>
    <t>MV</t>
  </si>
  <si>
    <t>BT</t>
  </si>
  <si>
    <t>Nguyên vật liệu</t>
  </si>
  <si>
    <t>Ốp tường</t>
  </si>
  <si>
    <t>Slab, bàn bếp, cao cấp</t>
  </si>
  <si>
    <t>Cao cấp hồ bơi, bộ cửa</t>
  </si>
  <si>
    <t>U</t>
  </si>
  <si>
    <t>Mục đích sử dụng</t>
  </si>
  <si>
    <t>G</t>
  </si>
  <si>
    <t>Đá lát nền ngoại thất (Cubic, tấm, lát từ 2.5cm)</t>
  </si>
  <si>
    <t>Đá bậc thang (Nguyên khối, ốp BT)</t>
  </si>
  <si>
    <t>Lát nền bên trong, đá bộ</t>
  </si>
  <si>
    <t>Nguyên vật liệu (Mã loại đá) - 2 chữ cái</t>
  </si>
  <si>
    <t>Mã sản phẩm (Theo mục đích sử dụng) - 2 số</t>
  </si>
  <si>
    <t>Mã gia công bề mặt chính - 3 chữ cái</t>
  </si>
  <si>
    <t>Gia công phụ</t>
  </si>
  <si>
    <t>Sản phẩm đặc biệt</t>
  </si>
  <si>
    <t>Cạnh chẻ tay tự nhiên</t>
  </si>
  <si>
    <t>Cạnh hone</t>
  </si>
  <si>
    <t>Cạnh băm</t>
  </si>
  <si>
    <t>Không có gia công phụ</t>
  </si>
  <si>
    <t>Đáy băm</t>
  </si>
  <si>
    <t>GC Khác (Có chú thích)</t>
  </si>
  <si>
    <t>Ký hiệu chiều cao 60mm</t>
  </si>
  <si>
    <t>Cạnh bo tròn R</t>
  </si>
  <si>
    <t>K</t>
  </si>
  <si>
    <t>V</t>
  </si>
  <si>
    <t>Lỗ khoan</t>
  </si>
  <si>
    <t>Marble Trắng</t>
  </si>
  <si>
    <t>Marble Vàng</t>
  </si>
  <si>
    <t>Tên gọi khác</t>
  </si>
  <si>
    <t>Giả cổ máy, Chà sỏi</t>
  </si>
  <si>
    <t>Đục lồi</t>
  </si>
  <si>
    <t>Đốt</t>
  </si>
  <si>
    <t>Hone</t>
  </si>
  <si>
    <t>Bóng</t>
  </si>
  <si>
    <t>Băm</t>
  </si>
  <si>
    <t>Phun cát</t>
  </si>
  <si>
    <t>Cưa</t>
  </si>
  <si>
    <t>(1 Chữ: 3 kí tự đầu
2 Chữ: kí tự đầu chữ 1 + 2 kí tự đầu chữ 2
3 Chữ: 3 kí tự đầu của 3 chữ)
4 Chữ:  kí tự đầu chữ 1 + 2 kí tự đầu chữ 2)</t>
  </si>
  <si>
    <t>X</t>
  </si>
  <si>
    <t>Đá Granite xám</t>
  </si>
  <si>
    <t>Đá bo hồ bơi</t>
  </si>
  <si>
    <t>Sộ cạnh tự nhiên, bóc mặt</t>
  </si>
  <si>
    <t>Cưa bóc mặt</t>
  </si>
  <si>
    <t>Khò lửa</t>
  </si>
  <si>
    <t>Mài mờ</t>
  </si>
  <si>
    <t>Xịt cát</t>
  </si>
  <si>
    <t>Chải</t>
  </si>
  <si>
    <t>CHA</t>
  </si>
  <si>
    <t>BX06DOT3-1000L060</t>
  </si>
  <si>
    <t>Chiều dài 1000mm</t>
  </si>
  <si>
    <t>Chiều cao 60mm</t>
  </si>
  <si>
    <t>BD04DOT0-10001120</t>
  </si>
  <si>
    <t>BD04DOT0-10005080</t>
  </si>
  <si>
    <t>BD03DOT0-10002080</t>
  </si>
  <si>
    <t>BD04DOT0-12003150</t>
  </si>
  <si>
    <t>Cạnh gõ mẻ</t>
  </si>
  <si>
    <t>Cắt góc độ</t>
  </si>
  <si>
    <t>Ký hiêụ chiều rộng 300 mm</t>
  </si>
  <si>
    <t>Cắt chữ L, chiều rộng 350mm</t>
  </si>
  <si>
    <t>Sawn</t>
  </si>
  <si>
    <t>Flamed</t>
  </si>
  <si>
    <t>Honed</t>
  </si>
  <si>
    <t>chiseled</t>
  </si>
  <si>
    <t>bush hammere</t>
  </si>
  <si>
    <t xml:space="preserve">brush </t>
  </si>
  <si>
    <t>split, Handmade</t>
  </si>
  <si>
    <t>Scraped</t>
  </si>
  <si>
    <t>tumbled</t>
  </si>
  <si>
    <t>Old Imitation</t>
  </si>
  <si>
    <t>Sandblasted</t>
  </si>
  <si>
    <t>sawn then cleaved</t>
  </si>
  <si>
    <t>vibrated honed tumbled</t>
  </si>
  <si>
    <t>Cleaved</t>
  </si>
  <si>
    <t>polished</t>
  </si>
  <si>
    <t>BD04DOX0-100035150</t>
  </si>
  <si>
    <t>BD04CTA2-100035150</t>
  </si>
  <si>
    <t>BAZAN ĐEN, Bậc thang-Mặt trước chẻ tay tự nhiên, các cạnh còn lại đốt xịt nước, vạt mép cạnh dài 6mm, vạt mép cạnh ngắn 4mm.</t>
  </si>
  <si>
    <t>GX04DOC0-100035150</t>
  </si>
  <si>
    <t>GRANITE XÁM, Bậc thang-6 mặt đốt chải, vạt mép cạnh dài 6mm, vạt mép cạnh ngắn 4mm.</t>
  </si>
  <si>
    <t>MB04MGI0-100035150</t>
  </si>
  <si>
    <t>BLUESTONE, Bậc thang-6 mặt mài giấy, vạt mép cạnh dài 5mm, vạt mép cạnh ngắn 3mm</t>
  </si>
  <si>
    <t>BD04DOX0-125035150</t>
  </si>
  <si>
    <t>BAZAN ĐEN, Bậc thang-6 mặt đốt xịt nước, vạt mép cạnh dài 6mm, vạt mép cạnh ngắn 4mm.</t>
  </si>
  <si>
    <t>BAZAN ĐEN, Bậc thang-Mặt trước chẻ tay tự nhiên, các cạnh còn lại đốt chải, vạt mép cạnh dài 6mm, vạt mép cạnh ngắn 4mm.</t>
  </si>
  <si>
    <t>BD04CTA2-125035150</t>
  </si>
  <si>
    <t>BD04DOX0-150035150</t>
  </si>
  <si>
    <t>BD04CTA2-150035150</t>
  </si>
  <si>
    <t>GX04DOC0-150035150</t>
  </si>
  <si>
    <t>BLUESTONE, Bậc thang-Mài giấy, vạt mép cạnh dài 5mm, vạt mép cạnh ngắn 3mm</t>
  </si>
  <si>
    <t>MB04MGI0-150035150</t>
  </si>
  <si>
    <t>BD04DOX0-075035150</t>
  </si>
  <si>
    <t>BD04DOX0-100010080</t>
  </si>
  <si>
    <t xml:space="preserve">BAZAN ĐEN, Bậc thang-6 mặt đốt xịt nước, vạt mép 3mm </t>
  </si>
  <si>
    <t xml:space="preserve">BAZAN XÁM, Đá cây-Cưa lột tay </t>
  </si>
  <si>
    <t xml:space="preserve">White Marble </t>
  </si>
  <si>
    <t xml:space="preserve">Yellow Marble </t>
  </si>
  <si>
    <t xml:space="preserve">Hive Basalt </t>
  </si>
  <si>
    <t xml:space="preserve">Grey Basalt </t>
  </si>
  <si>
    <t xml:space="preserve">Black Basalt </t>
  </si>
  <si>
    <t xml:space="preserve">Grey Granite </t>
  </si>
  <si>
    <t xml:space="preserve">White Granite </t>
  </si>
  <si>
    <t xml:space="preserve">Yellow Granite </t>
  </si>
  <si>
    <t xml:space="preserve">Red Granite </t>
  </si>
  <si>
    <t xml:space="preserve">Pink Granite </t>
  </si>
  <si>
    <t>Bazan tổ ong</t>
  </si>
  <si>
    <t>Bazan Xám</t>
  </si>
  <si>
    <t>Bazan Đen</t>
  </si>
  <si>
    <t>Granite Xám</t>
  </si>
  <si>
    <t>Granite Trắng</t>
  </si>
  <si>
    <t>Granite Vàng</t>
  </si>
  <si>
    <t>Granite Đỏ</t>
  </si>
  <si>
    <t>Granite Hồng</t>
  </si>
  <si>
    <t>DOC</t>
  </si>
  <si>
    <t>DOX</t>
  </si>
  <si>
    <t>Đốt xịt</t>
  </si>
  <si>
    <t>Đốt chải máy</t>
  </si>
  <si>
    <t>Flamed brush</t>
  </si>
  <si>
    <t>Flamed... water</t>
  </si>
  <si>
    <r>
      <rPr>
        <b/>
        <sz val="11"/>
        <color theme="1"/>
        <rFont val="Calibri"/>
        <family val="2"/>
        <scheme val="minor"/>
      </rPr>
      <t>BAZAN ĐEN LÁT NỀN</t>
    </r>
    <r>
      <rPr>
        <sz val="11"/>
        <color theme="1"/>
        <rFont val="Calibri"/>
        <family val="2"/>
        <scheme val="minor"/>
      </rPr>
      <t>, MẶT ĐỐT, CẠNH CHẺ TAY, ĐÁY CƯA, KT 60x30x6</t>
    </r>
  </si>
  <si>
    <r>
      <rPr>
        <b/>
        <sz val="11"/>
        <color theme="1"/>
        <rFont val="Calibri"/>
        <family val="2"/>
        <scheme val="minor"/>
      </rPr>
      <t>GRANITE XÁM BO HỒ BƠI CHỮ L</t>
    </r>
    <r>
      <rPr>
        <sz val="11"/>
        <color theme="1"/>
        <rFont val="Calibri"/>
        <family val="2"/>
        <scheme val="minor"/>
      </rPr>
      <t>, MẶT ĐỐT, CẠNH DÀI TRƯỚC HONE, CÁC CẠNH CÒN LẠI CƯA, KT  1000x350x60/30 (Có bản vẽ kèm theo)</t>
    </r>
  </si>
  <si>
    <t>Chú thích diễn giải cụ thể khi gọi tên tiếng việt:</t>
  </si>
  <si>
    <r>
      <t>ð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 xml:space="preserve">NGUYÊN LIỆU – TÊN SẢN PHẨM </t>
    </r>
  </si>
  <si>
    <r>
      <t>a)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GIA CÔNG MẶT, CẠNH - ĐÁY (dành cho sản phẩm phổ thông, đơn giản)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</si>
  <si>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Times New Roman"/>
        <family val="1"/>
      </rPr>
      <t>GIA CÔNG MẶT, CẠNH – ĐÁY – MÉP – GIA CÔNG KHÁC – HÌNH VẼ CÓ HOẶC KHÔNG (mô tả chi tiết dành cho sản phẩm cao cấp, phức tạp, nên hình dung các sản phẩm mô tả đầy đủ như thế này)</t>
    </r>
  </si>
  <si>
    <t>Ví dụ: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</si>
  <si>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Sản phẩm phổ thông:</t>
    </r>
  </si>
  <si>
    <t>Bazan xám Cubic, mặt và các cạnh Chẻ tay</t>
  </si>
  <si>
    <t>Blue stone Lát nền, mặt và các cạnh Quay mẻ</t>
  </si>
  <si>
    <t>Bazan đen Lát nền, mặt Đốt, cạnh Chẻ tay, đáy Cưa</t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</si>
  <si>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Sản phẩm cao cấp, chi tiết, phức tạp:</t>
    </r>
  </si>
  <si>
    <t>Bazan xám Hồ bơi, mặt Đốt, 1 cạnh dài Hon, các cạnh còn lại Cưa, đáy Xẻ rãnh 0.7x0.7cm theo chiều dài, các mép trên Vạt 3mm, Khoan 2 đầu, theo Bản vẽ đính kèm</t>
  </si>
  <si>
    <t>Blue stone Lát nền, mặt Mài giấy, cạnh Cưa, đáy Cưa, Vạt các mép 3mm</t>
  </si>
  <si>
    <t>Bazan đen Bậc thang, 6 mặt đốt xịt nước, mép dài vạt 5mm, mép ngắn 3mm</t>
  </si>
  <si>
    <t>Bazan đen Bậc thang, mặt Đốt xịt nước, 1 cạnh dài Chẻ tạy tự nhiên, các cạnh còn lại cưa, đáy cưa, mép dài vạt 5mm, mép ngắn 3mm</t>
  </si>
  <si>
    <t>Bazan xám Mỹ nghệ, mặt trên vạt Hon, các cạnh xung quanh Tự nhiên, đáy Cưa, mép trên Vạt 3mm, Khắc chữ, theo Bản vẽ</t>
  </si>
  <si>
    <t>Cho dù a hay b thì vẫn nên đi theo thứ tự logic của b, nếu sản phẩm đơn giản thì có thể rút gọn thành a</t>
  </si>
  <si>
    <t>.</t>
  </si>
  <si>
    <t>13, 14, 15</t>
  </si>
  <si>
    <t>Chiều rộng - 3 số đối với sản phẩm đá hình hộp hoặc 2 chữ 1 số đối với sản phẩm khác (Vành, trụ, chữ L, chữ U,…)</t>
  </si>
  <si>
    <t>16,17,18</t>
  </si>
  <si>
    <t>(Ký hiệu 16 sẽ đổi thành + or - trong trường hợp đá cubic lấy chiều dày dương hoặc âm)</t>
  </si>
  <si>
    <t>Đá lát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</si>
</sst>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₫_-;\-* #,##0.00\ _₫_-;_-* &quot;-&quot;??\ _₫_-;_-@_-"/>
    <numFmt numFmtId="164" formatCode="_(* #,##0_);_(* \(#,##0\);_(* &quot;-&quot;_);_(@_)"/>
    <numFmt numFmtId="165" formatCode="_(* #,##0.00_);_(* \(#,##0.00\);_(* &quot;-&quot;??_);_(@_)"/>
    <numFmt numFmtId="166" formatCode="[$-409]mmmm\ d\,\ yyyy;@"/>
    <numFmt numFmtId="167" formatCode="_(* #,##0_);_(* \(#,##0\);_(* &quot;-&quot;??_);_(@_)"/>
    <numFmt numFmtId="168" formatCode="#,##0.000"/>
    <numFmt numFmtId="169" formatCode="0\ &quot;viên/kiện&quot;"/>
    <numFmt numFmtId="170" formatCode="0&quot; viên/kiện&quot;"/>
  </numFmts>
  <fonts count="6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name val=".VnTime"/>
      <family val="2"/>
    </font>
    <font>
      <sz val="10"/>
      <name val="Arial"/>
      <family val="2"/>
    </font>
    <font>
      <sz val="11"/>
      <color theme="1"/>
      <name val="Calibri"/>
      <charset val="134"/>
      <scheme val="minor"/>
    </font>
    <font>
      <b/>
      <sz val="18"/>
      <name val="Arial"/>
      <family val="2"/>
    </font>
    <font>
      <sz val="11"/>
      <name val="Arial"/>
      <family val="2"/>
    </font>
    <font>
      <sz val="11"/>
      <color theme="3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sz val="11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Arial"/>
      <family val="2"/>
    </font>
    <font>
      <b/>
      <sz val="11"/>
      <color theme="3"/>
      <name val="Arial"/>
      <family val="2"/>
    </font>
    <font>
      <b/>
      <u/>
      <sz val="11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sz val="14"/>
      <color rgb="FFFF0000"/>
      <name val="Calibri"/>
      <family val="2"/>
    </font>
    <font>
      <b/>
      <sz val="9"/>
      <name val="Arial"/>
      <family val="2"/>
    </font>
    <font>
      <b/>
      <sz val="11"/>
      <color indexed="9"/>
      <name val="Arial"/>
      <family val="2"/>
    </font>
    <font>
      <b/>
      <sz val="11"/>
      <color theme="0"/>
      <name val="Arial"/>
      <family val="2"/>
    </font>
    <font>
      <b/>
      <sz val="9"/>
      <color indexed="9"/>
      <name val="Arial"/>
      <family val="2"/>
    </font>
    <font>
      <b/>
      <sz val="11"/>
      <color indexed="56"/>
      <name val="Arial"/>
      <family val="2"/>
    </font>
    <font>
      <sz val="11"/>
      <color indexed="56"/>
      <name val="Arial"/>
      <family val="2"/>
    </font>
    <font>
      <b/>
      <sz val="11"/>
      <color indexed="10"/>
      <name val="Arial"/>
      <family val="2"/>
    </font>
    <font>
      <sz val="11"/>
      <color indexed="10"/>
      <name val="Arial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b/>
      <sz val="11"/>
      <color theme="4"/>
      <name val="Arial"/>
      <family val="2"/>
    </font>
    <font>
      <b/>
      <sz val="11"/>
      <color theme="3" tint="0.39997558519241921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b/>
      <i/>
      <sz val="12"/>
      <color theme="1"/>
      <name val="Times New Roman"/>
      <family val="1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b/>
      <sz val="7"/>
      <color theme="1"/>
      <name val="Times New Roman"/>
      <family val="1"/>
    </font>
    <font>
      <sz val="12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A7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</borders>
  <cellStyleXfs count="14">
    <xf numFmtId="0" fontId="0" fillId="0" borderId="0"/>
    <xf numFmtId="0" fontId="14" fillId="0" borderId="0"/>
    <xf numFmtId="166" fontId="11" fillId="0" borderId="0"/>
    <xf numFmtId="43" fontId="23" fillId="0" borderId="0" applyFont="0" applyFill="0" applyBorder="0" applyAlignment="0" applyProtection="0"/>
    <xf numFmtId="166" fontId="24" fillId="0" borderId="0"/>
    <xf numFmtId="166" fontId="23" fillId="0" borderId="0"/>
    <xf numFmtId="43" fontId="11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24" fillId="0" borderId="0"/>
    <xf numFmtId="165" fontId="24" fillId="0" borderId="0" applyFont="0" applyFill="0" applyBorder="0" applyAlignment="0" applyProtection="0"/>
    <xf numFmtId="166" fontId="24" fillId="0" borderId="0"/>
    <xf numFmtId="165" fontId="25" fillId="0" borderId="0" applyFont="0" applyFill="0" applyBorder="0" applyAlignment="0" applyProtection="0"/>
    <xf numFmtId="0" fontId="56" fillId="0" borderId="0"/>
  </cellStyleXfs>
  <cellXfs count="360">
    <xf numFmtId="0" fontId="0" fillId="0" borderId="0" xfId="0"/>
    <xf numFmtId="0" fontId="0" fillId="0" borderId="1" xfId="0" applyBorder="1"/>
    <xf numFmtId="0" fontId="16" fillId="2" borderId="1" xfId="0" applyFont="1" applyFill="1" applyBorder="1"/>
    <xf numFmtId="0" fontId="15" fillId="0" borderId="1" xfId="0" quotePrefix="1" applyFont="1" applyBorder="1"/>
    <xf numFmtId="0" fontId="15" fillId="0" borderId="1" xfId="0" applyFont="1" applyBorder="1"/>
    <xf numFmtId="0" fontId="0" fillId="0" borderId="1" xfId="0" applyBorder="1" applyAlignment="1">
      <alignment horizontal="right"/>
    </xf>
    <xf numFmtId="0" fontId="17" fillId="0" borderId="0" xfId="0" applyFont="1"/>
    <xf numFmtId="0" fontId="14" fillId="0" borderId="0" xfId="1"/>
    <xf numFmtId="0" fontId="18" fillId="0" borderId="0" xfId="1" applyFont="1"/>
    <xf numFmtId="0" fontId="0" fillId="3" borderId="0" xfId="0" applyFill="1"/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0" xfId="0" quotePrefix="1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3" fillId="0" borderId="0" xfId="0" applyFont="1"/>
    <xf numFmtId="16" fontId="13" fillId="0" borderId="0" xfId="0" applyNumberFormat="1" applyFont="1"/>
    <xf numFmtId="0" fontId="13" fillId="0" borderId="1" xfId="0" applyFont="1" applyBorder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166" fontId="21" fillId="6" borderId="1" xfId="2" applyFont="1" applyFill="1" applyBorder="1" applyAlignment="1">
      <alignment horizontal="center" vertical="center"/>
    </xf>
    <xf numFmtId="0" fontId="21" fillId="6" borderId="1" xfId="2" applyNumberFormat="1" applyFont="1" applyFill="1" applyBorder="1" applyAlignment="1">
      <alignment horizontal="center" vertical="center"/>
    </xf>
    <xf numFmtId="164" fontId="21" fillId="6" borderId="1" xfId="3" applyNumberFormat="1" applyFont="1" applyFill="1" applyBorder="1" applyAlignment="1">
      <alignment horizontal="center" vertical="center"/>
    </xf>
    <xf numFmtId="166" fontId="19" fillId="0" borderId="0" xfId="2" applyFont="1" applyAlignment="1">
      <alignment vertical="center"/>
    </xf>
    <xf numFmtId="49" fontId="21" fillId="6" borderId="1" xfId="2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7" fillId="0" borderId="0" xfId="0" applyFont="1"/>
    <xf numFmtId="0" fontId="27" fillId="0" borderId="2" xfId="0" applyFont="1" applyBorder="1"/>
    <xf numFmtId="167" fontId="28" fillId="0" borderId="0" xfId="12" applyNumberFormat="1" applyFont="1" applyAlignment="1"/>
    <xf numFmtId="0" fontId="27" fillId="0" borderId="0" xfId="0" applyFont="1" applyAlignment="1">
      <alignment horizontal="center"/>
    </xf>
    <xf numFmtId="164" fontId="27" fillId="0" borderId="0" xfId="0" applyNumberFormat="1" applyFont="1"/>
    <xf numFmtId="165" fontId="27" fillId="0" borderId="0" xfId="12" applyFont="1"/>
    <xf numFmtId="165" fontId="27" fillId="0" borderId="0" xfId="12" applyFont="1" applyAlignment="1">
      <alignment horizontal="center"/>
    </xf>
    <xf numFmtId="168" fontId="27" fillId="0" borderId="0" xfId="0" applyNumberFormat="1" applyFont="1" applyAlignment="1">
      <alignment horizontal="right"/>
    </xf>
    <xf numFmtId="0" fontId="29" fillId="0" borderId="3" xfId="0" applyFont="1" applyBorder="1" applyAlignment="1">
      <alignment vertical="center"/>
    </xf>
    <xf numFmtId="0" fontId="30" fillId="0" borderId="4" xfId="0" applyFont="1" applyBorder="1" applyAlignment="1">
      <alignment vertical="center" wrapText="1"/>
    </xf>
    <xf numFmtId="0" fontId="24" fillId="0" borderId="8" xfId="0" applyFont="1" applyBorder="1" applyAlignment="1">
      <alignment vertical="center"/>
    </xf>
    <xf numFmtId="0" fontId="30" fillId="0" borderId="0" xfId="0" applyFont="1" applyAlignment="1">
      <alignment vertical="center" wrapText="1"/>
    </xf>
    <xf numFmtId="0" fontId="24" fillId="0" borderId="8" xfId="0" applyFont="1" applyBorder="1" applyAlignment="1">
      <alignment horizontal="left" vertical="center"/>
    </xf>
    <xf numFmtId="0" fontId="32" fillId="7" borderId="1" xfId="0" applyFont="1" applyFill="1" applyBorder="1" applyAlignment="1">
      <alignment horizontal="center" vertical="center" wrapText="1"/>
    </xf>
    <xf numFmtId="0" fontId="32" fillId="7" borderId="15" xfId="0" applyFont="1" applyFill="1" applyBorder="1" applyAlignment="1">
      <alignment horizontal="center" vertical="center"/>
    </xf>
    <xf numFmtId="0" fontId="32" fillId="7" borderId="20" xfId="0" applyFont="1" applyFill="1" applyBorder="1" applyAlignment="1">
      <alignment horizontal="center" vertical="center"/>
    </xf>
    <xf numFmtId="165" fontId="32" fillId="7" borderId="20" xfId="12" applyFont="1" applyFill="1" applyBorder="1" applyAlignment="1">
      <alignment horizontal="center" vertical="center" wrapText="1"/>
    </xf>
    <xf numFmtId="165" fontId="32" fillId="7" borderId="20" xfId="12" applyFont="1" applyFill="1" applyBorder="1" applyAlignment="1">
      <alignment horizontal="center" vertical="center"/>
    </xf>
    <xf numFmtId="0" fontId="27" fillId="0" borderId="17" xfId="0" applyFont="1" applyBorder="1" applyAlignment="1">
      <alignment horizontal="center" vertical="center" wrapText="1"/>
    </xf>
    <xf numFmtId="0" fontId="33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34" fillId="0" borderId="1" xfId="8" applyNumberFormat="1" applyFont="1" applyFill="1" applyBorder="1" applyAlignment="1">
      <alignment vertical="center"/>
    </xf>
    <xf numFmtId="1" fontId="27" fillId="0" borderId="1" xfId="12" applyNumberFormat="1" applyFont="1" applyFill="1" applyBorder="1" applyAlignment="1">
      <alignment horizontal="center" vertical="center" wrapText="1"/>
    </xf>
    <xf numFmtId="167" fontId="27" fillId="0" borderId="1" xfId="0" quotePrefix="1" applyNumberFormat="1" applyFont="1" applyBorder="1" applyAlignment="1">
      <alignment horizontal="center" vertical="center"/>
    </xf>
    <xf numFmtId="165" fontId="27" fillId="0" borderId="1" xfId="12" applyFont="1" applyFill="1" applyBorder="1" applyAlignment="1">
      <alignment horizontal="center" vertical="center" wrapText="1"/>
    </xf>
    <xf numFmtId="169" fontId="27" fillId="0" borderId="1" xfId="8" applyNumberFormat="1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vertical="center" wrapText="1"/>
    </xf>
    <xf numFmtId="1" fontId="27" fillId="5" borderId="1" xfId="8" quotePrefix="1" applyNumberFormat="1" applyFont="1" applyFill="1" applyBorder="1" applyAlignment="1">
      <alignment horizontal="center" vertical="center"/>
    </xf>
    <xf numFmtId="0" fontId="33" fillId="0" borderId="25" xfId="0" applyFont="1" applyBorder="1" applyAlignment="1">
      <alignment vertical="center"/>
    </xf>
    <xf numFmtId="167" fontId="38" fillId="0" borderId="29" xfId="12" applyNumberFormat="1" applyFont="1" applyBorder="1" applyAlignment="1">
      <alignment vertical="center"/>
    </xf>
    <xf numFmtId="165" fontId="38" fillId="0" borderId="29" xfId="12" applyFont="1" applyBorder="1" applyAlignment="1">
      <alignment vertical="center"/>
    </xf>
    <xf numFmtId="167" fontId="38" fillId="0" borderId="29" xfId="12" applyNumberFormat="1" applyFont="1" applyBorder="1" applyAlignment="1">
      <alignment horizontal="center" vertical="center"/>
    </xf>
    <xf numFmtId="168" fontId="33" fillId="0" borderId="30" xfId="0" applyNumberFormat="1" applyFont="1" applyBorder="1" applyAlignment="1">
      <alignment horizontal="right" vertical="center"/>
    </xf>
    <xf numFmtId="165" fontId="35" fillId="0" borderId="30" xfId="12" applyFont="1" applyFill="1" applyBorder="1" applyAlignment="1">
      <alignment vertical="center" wrapText="1"/>
    </xf>
    <xf numFmtId="165" fontId="36" fillId="5" borderId="31" xfId="12" applyFont="1" applyFill="1" applyBorder="1" applyAlignment="1">
      <alignment vertical="center" wrapText="1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167" fontId="38" fillId="0" borderId="0" xfId="12" applyNumberFormat="1" applyFont="1" applyBorder="1" applyAlignment="1">
      <alignment vertical="center"/>
    </xf>
    <xf numFmtId="165" fontId="38" fillId="0" borderId="0" xfId="12" applyFont="1" applyBorder="1" applyAlignment="1">
      <alignment vertical="center"/>
    </xf>
    <xf numFmtId="167" fontId="38" fillId="0" borderId="0" xfId="12" applyNumberFormat="1" applyFont="1" applyBorder="1" applyAlignment="1">
      <alignment horizontal="center" vertical="center"/>
    </xf>
    <xf numFmtId="168" fontId="33" fillId="0" borderId="0" xfId="0" applyNumberFormat="1" applyFont="1" applyAlignment="1">
      <alignment horizontal="right" vertical="center"/>
    </xf>
    <xf numFmtId="165" fontId="35" fillId="0" borderId="0" xfId="12" applyFont="1" applyFill="1" applyBorder="1" applyAlignment="1">
      <alignment vertical="center" wrapText="1"/>
    </xf>
    <xf numFmtId="165" fontId="36" fillId="5" borderId="0" xfId="12" applyFont="1" applyFill="1" applyBorder="1" applyAlignment="1">
      <alignment vertical="center" wrapText="1"/>
    </xf>
    <xf numFmtId="0" fontId="39" fillId="0" borderId="0" xfId="0" applyFont="1"/>
    <xf numFmtId="167" fontId="28" fillId="0" borderId="0" xfId="12" applyNumberFormat="1" applyFont="1" applyBorder="1" applyAlignment="1"/>
    <xf numFmtId="0" fontId="37" fillId="5" borderId="0" xfId="0" applyFont="1" applyFill="1"/>
    <xf numFmtId="0" fontId="27" fillId="5" borderId="0" xfId="0" applyFont="1" applyFill="1"/>
    <xf numFmtId="0" fontId="40" fillId="5" borderId="0" xfId="0" applyFont="1" applyFill="1"/>
    <xf numFmtId="167" fontId="28" fillId="5" borderId="0" xfId="12" applyNumberFormat="1" applyFont="1" applyFill="1" applyBorder="1" applyAlignment="1"/>
    <xf numFmtId="0" fontId="33" fillId="5" borderId="0" xfId="0" applyFont="1" applyFill="1" applyAlignment="1">
      <alignment horizontal="center"/>
    </xf>
    <xf numFmtId="164" fontId="27" fillId="5" borderId="0" xfId="0" applyNumberFormat="1" applyFont="1" applyFill="1"/>
    <xf numFmtId="165" fontId="27" fillId="5" borderId="0" xfId="12" applyFont="1" applyFill="1"/>
    <xf numFmtId="165" fontId="27" fillId="5" borderId="0" xfId="12" applyFont="1" applyFill="1" applyAlignment="1">
      <alignment horizontal="center"/>
    </xf>
    <xf numFmtId="0" fontId="27" fillId="5" borderId="0" xfId="0" applyFont="1" applyFill="1" applyAlignment="1">
      <alignment horizontal="center"/>
    </xf>
    <xf numFmtId="0" fontId="42" fillId="0" borderId="0" xfId="0" quotePrefix="1" applyFont="1"/>
    <xf numFmtId="0" fontId="29" fillId="0" borderId="4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7" fillId="0" borderId="18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3" fillId="0" borderId="27" xfId="0" applyFont="1" applyBorder="1" applyAlignment="1">
      <alignment vertical="center"/>
    </xf>
    <xf numFmtId="0" fontId="0" fillId="0" borderId="23" xfId="0" applyBorder="1"/>
    <xf numFmtId="0" fontId="9" fillId="0" borderId="23" xfId="0" applyFont="1" applyBorder="1"/>
    <xf numFmtId="0" fontId="26" fillId="0" borderId="0" xfId="0" applyFont="1" applyAlignment="1">
      <alignment horizontal="center"/>
    </xf>
    <xf numFmtId="0" fontId="28" fillId="0" borderId="0" xfId="0" applyFont="1"/>
    <xf numFmtId="169" fontId="27" fillId="0" borderId="0" xfId="12" applyNumberFormat="1" applyFont="1" applyAlignment="1">
      <alignment horizontal="right"/>
    </xf>
    <xf numFmtId="0" fontId="43" fillId="0" borderId="3" xfId="0" applyFont="1" applyBorder="1" applyAlignment="1">
      <alignment vertical="center"/>
    </xf>
    <xf numFmtId="0" fontId="24" fillId="0" borderId="0" xfId="0" applyFont="1" applyAlignment="1">
      <alignment horizontal="left" vertical="center" wrapText="1"/>
    </xf>
    <xf numFmtId="166" fontId="35" fillId="0" borderId="0" xfId="0" applyNumberFormat="1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44" fillId="0" borderId="0" xfId="0" applyFont="1" applyAlignment="1">
      <alignment horizontal="center" vertical="center" wrapText="1"/>
    </xf>
    <xf numFmtId="0" fontId="44" fillId="7" borderId="20" xfId="0" applyFont="1" applyFill="1" applyBorder="1" applyAlignment="1">
      <alignment horizontal="center" vertical="center"/>
    </xf>
    <xf numFmtId="0" fontId="45" fillId="7" borderId="20" xfId="0" applyFont="1" applyFill="1" applyBorder="1" applyAlignment="1">
      <alignment horizontal="center" vertical="center"/>
    </xf>
    <xf numFmtId="0" fontId="44" fillId="7" borderId="20" xfId="0" applyFont="1" applyFill="1" applyBorder="1" applyAlignment="1">
      <alignment horizontal="center" vertical="center" wrapText="1"/>
    </xf>
    <xf numFmtId="0" fontId="46" fillId="7" borderId="20" xfId="0" applyFont="1" applyFill="1" applyBorder="1" applyAlignment="1">
      <alignment horizontal="center" vertical="center"/>
    </xf>
    <xf numFmtId="0" fontId="27" fillId="0" borderId="32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167" fontId="33" fillId="0" borderId="1" xfId="12" applyNumberFormat="1" applyFont="1" applyFill="1" applyBorder="1" applyAlignment="1">
      <alignment horizontal="center" vertical="center" wrapText="1"/>
    </xf>
    <xf numFmtId="2" fontId="33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2" fontId="27" fillId="0" borderId="1" xfId="12" applyNumberFormat="1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 wrapText="1"/>
    </xf>
    <xf numFmtId="0" fontId="47" fillId="0" borderId="20" xfId="0" applyFont="1" applyBorder="1" applyAlignment="1">
      <alignment horizontal="left" vertical="center" wrapText="1"/>
    </xf>
    <xf numFmtId="1" fontId="33" fillId="0" borderId="1" xfId="0" applyNumberFormat="1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2" fontId="33" fillId="0" borderId="1" xfId="12" applyNumberFormat="1" applyFont="1" applyFill="1" applyBorder="1" applyAlignment="1">
      <alignment horizontal="center" vertical="center"/>
    </xf>
    <xf numFmtId="169" fontId="24" fillId="0" borderId="1" xfId="12" applyNumberFormat="1" applyFont="1" applyFill="1" applyBorder="1" applyAlignment="1">
      <alignment horizontal="center" vertical="center" wrapText="1"/>
    </xf>
    <xf numFmtId="0" fontId="49" fillId="0" borderId="1" xfId="0" applyFont="1" applyBorder="1" applyAlignment="1">
      <alignment vertical="center" wrapText="1"/>
    </xf>
    <xf numFmtId="0" fontId="49" fillId="0" borderId="33" xfId="0" applyFont="1" applyBorder="1" applyAlignment="1">
      <alignment horizontal="center" vertical="center" wrapText="1"/>
    </xf>
    <xf numFmtId="0" fontId="40" fillId="0" borderId="0" xfId="0" applyFont="1"/>
    <xf numFmtId="0" fontId="43" fillId="0" borderId="4" xfId="0" applyFont="1" applyBorder="1" applyAlignment="1">
      <alignment vertical="center"/>
    </xf>
    <xf numFmtId="0" fontId="27" fillId="0" borderId="1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wrapText="1"/>
    </xf>
    <xf numFmtId="167" fontId="27" fillId="0" borderId="0" xfId="8" applyNumberFormat="1" applyFont="1" applyAlignment="1"/>
    <xf numFmtId="0" fontId="44" fillId="7" borderId="1" xfId="0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center" vertical="center"/>
    </xf>
    <xf numFmtId="0" fontId="46" fillId="7" borderId="1" xfId="0" applyFont="1" applyFill="1" applyBorder="1" applyAlignment="1">
      <alignment horizontal="center" vertical="center"/>
    </xf>
    <xf numFmtId="167" fontId="27" fillId="0" borderId="20" xfId="8" applyNumberFormat="1" applyFont="1" applyFill="1" applyBorder="1" applyAlignment="1">
      <alignment vertical="center" wrapText="1"/>
    </xf>
    <xf numFmtId="165" fontId="27" fillId="0" borderId="20" xfId="8" applyFont="1" applyFill="1" applyBorder="1" applyAlignment="1">
      <alignment horizontal="center" vertical="center" wrapText="1"/>
    </xf>
    <xf numFmtId="165" fontId="27" fillId="0" borderId="20" xfId="0" applyNumberFormat="1" applyFont="1" applyBorder="1" applyAlignment="1">
      <alignment vertical="center"/>
    </xf>
    <xf numFmtId="170" fontId="24" fillId="0" borderId="20" xfId="8" applyNumberFormat="1" applyFont="1" applyFill="1" applyBorder="1" applyAlignment="1">
      <alignment vertical="center" wrapText="1"/>
    </xf>
    <xf numFmtId="165" fontId="35" fillId="0" borderId="20" xfId="8" applyFont="1" applyFill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center"/>
    </xf>
    <xf numFmtId="4" fontId="53" fillId="0" borderId="1" xfId="8" applyNumberFormat="1" applyFont="1" applyFill="1" applyBorder="1" applyAlignment="1">
      <alignment horizontal="center" vertical="center"/>
    </xf>
    <xf numFmtId="165" fontId="27" fillId="0" borderId="1" xfId="8" applyFont="1" applyFill="1" applyBorder="1" applyAlignment="1">
      <alignment vertical="center" wrapText="1"/>
    </xf>
    <xf numFmtId="170" fontId="24" fillId="0" borderId="38" xfId="8" applyNumberFormat="1" applyFont="1" applyFill="1" applyBorder="1" applyAlignment="1">
      <alignment horizontal="center" vertical="center" wrapText="1"/>
    </xf>
    <xf numFmtId="165" fontId="35" fillId="0" borderId="23" xfId="8" applyFont="1" applyFill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170" fontId="24" fillId="0" borderId="1" xfId="8" applyNumberFormat="1" applyFont="1" applyFill="1" applyBorder="1" applyAlignment="1">
      <alignment horizontal="center" vertical="center" wrapText="1"/>
    </xf>
    <xf numFmtId="170" fontId="40" fillId="0" borderId="20" xfId="8" applyNumberFormat="1" applyFont="1" applyFill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27" fillId="0" borderId="42" xfId="0" applyFont="1" applyBorder="1" applyAlignment="1">
      <alignment vertical="center"/>
    </xf>
    <xf numFmtId="0" fontId="27" fillId="0" borderId="43" xfId="0" applyFont="1" applyBorder="1" applyAlignment="1">
      <alignment vertical="center"/>
    </xf>
    <xf numFmtId="1" fontId="33" fillId="0" borderId="41" xfId="0" applyNumberFormat="1" applyFont="1" applyBorder="1" applyAlignment="1">
      <alignment horizontal="center" vertical="center"/>
    </xf>
    <xf numFmtId="165" fontId="33" fillId="0" borderId="41" xfId="8" applyFont="1" applyBorder="1" applyAlignment="1">
      <alignment horizontal="center" vertical="center"/>
    </xf>
    <xf numFmtId="2" fontId="33" fillId="0" borderId="41" xfId="0" applyNumberFormat="1" applyFont="1" applyBorder="1" applyAlignment="1">
      <alignment horizontal="center" vertical="center"/>
    </xf>
    <xf numFmtId="2" fontId="33" fillId="0" borderId="41" xfId="8" applyNumberFormat="1" applyFont="1" applyFill="1" applyBorder="1" applyAlignment="1">
      <alignment horizontal="center" vertical="center"/>
    </xf>
    <xf numFmtId="0" fontId="24" fillId="0" borderId="0" xfId="0" applyFont="1"/>
    <xf numFmtId="167" fontId="27" fillId="0" borderId="0" xfId="8" applyNumberFormat="1" applyFont="1" applyBorder="1" applyAlignment="1"/>
    <xf numFmtId="0" fontId="49" fillId="0" borderId="0" xfId="0" applyFont="1" applyAlignment="1">
      <alignment vertical="center" wrapText="1"/>
    </xf>
    <xf numFmtId="0" fontId="49" fillId="0" borderId="0" xfId="0" applyFont="1"/>
    <xf numFmtId="0" fontId="34" fillId="0" borderId="0" xfId="0" applyFont="1"/>
    <xf numFmtId="0" fontId="33" fillId="0" borderId="0" xfId="0" applyFont="1"/>
    <xf numFmtId="0" fontId="54" fillId="0" borderId="0" xfId="0" applyFont="1"/>
    <xf numFmtId="0" fontId="27" fillId="0" borderId="0" xfId="0" applyFont="1" applyAlignment="1">
      <alignment wrapText="1"/>
    </xf>
    <xf numFmtId="0" fontId="43" fillId="0" borderId="4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39" fillId="0" borderId="0" xfId="0" applyFont="1" applyAlignment="1">
      <alignment wrapText="1"/>
    </xf>
    <xf numFmtId="0" fontId="49" fillId="0" borderId="0" xfId="0" applyFont="1" applyAlignment="1">
      <alignment wrapText="1"/>
    </xf>
    <xf numFmtId="0" fontId="9" fillId="0" borderId="0" xfId="0" applyFont="1"/>
    <xf numFmtId="2" fontId="0" fillId="0" borderId="1" xfId="0" applyNumberFormat="1" applyBorder="1"/>
    <xf numFmtId="2" fontId="0" fillId="0" borderId="23" xfId="0" applyNumberFormat="1" applyBorder="1"/>
    <xf numFmtId="2" fontId="0" fillId="0" borderId="0" xfId="0" applyNumberFormat="1"/>
    <xf numFmtId="0" fontId="55" fillId="8" borderId="45" xfId="13" applyFont="1" applyFill="1" applyBorder="1" applyAlignment="1">
      <alignment horizontal="center"/>
    </xf>
    <xf numFmtId="4" fontId="55" fillId="0" borderId="46" xfId="13" applyNumberFormat="1" applyFont="1" applyBorder="1" applyAlignment="1">
      <alignment horizontal="right" wrapText="1"/>
    </xf>
    <xf numFmtId="0" fontId="8" fillId="0" borderId="0" xfId="0" applyFont="1" applyAlignment="1">
      <alignment wrapText="1"/>
    </xf>
    <xf numFmtId="170" fontId="24" fillId="0" borderId="38" xfId="12" applyNumberFormat="1" applyFont="1" applyFill="1" applyBorder="1" applyAlignment="1">
      <alignment horizontal="center" vertical="center" wrapText="1"/>
    </xf>
    <xf numFmtId="169" fontId="24" fillId="0" borderId="38" xfId="12" applyNumberFormat="1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7" fillId="0" borderId="0" xfId="0" applyFont="1"/>
    <xf numFmtId="0" fontId="6" fillId="0" borderId="1" xfId="0" applyFon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0" fillId="3" borderId="1" xfId="0" applyFont="1" applyFill="1" applyBorder="1"/>
    <xf numFmtId="2" fontId="0" fillId="3" borderId="1" xfId="0" applyNumberFormat="1" applyFill="1" applyBorder="1"/>
    <xf numFmtId="0" fontId="0" fillId="0" borderId="22" xfId="0" applyBorder="1" applyAlignment="1">
      <alignment horizontal="center"/>
    </xf>
    <xf numFmtId="0" fontId="0" fillId="0" borderId="22" xfId="0" applyBorder="1"/>
    <xf numFmtId="0" fontId="10" fillId="0" borderId="22" xfId="0" applyFont="1" applyBorder="1"/>
    <xf numFmtId="2" fontId="0" fillId="0" borderId="22" xfId="0" applyNumberFormat="1" applyBorder="1"/>
    <xf numFmtId="0" fontId="0" fillId="0" borderId="47" xfId="0" applyBorder="1" applyAlignment="1">
      <alignment horizontal="center"/>
    </xf>
    <xf numFmtId="0" fontId="0" fillId="0" borderId="47" xfId="0" applyBorder="1"/>
    <xf numFmtId="0" fontId="10" fillId="0" borderId="47" xfId="0" applyFont="1" applyBorder="1"/>
    <xf numFmtId="2" fontId="0" fillId="0" borderId="47" xfId="0" applyNumberFormat="1" applyBorder="1"/>
    <xf numFmtId="0" fontId="0" fillId="0" borderId="41" xfId="0" applyBorder="1" applyAlignment="1">
      <alignment horizontal="center"/>
    </xf>
    <xf numFmtId="0" fontId="0" fillId="0" borderId="41" xfId="0" applyBorder="1"/>
    <xf numFmtId="0" fontId="10" fillId="0" borderId="41" xfId="0" applyFont="1" applyBorder="1"/>
    <xf numFmtId="2" fontId="0" fillId="0" borderId="41" xfId="0" applyNumberFormat="1" applyBorder="1"/>
    <xf numFmtId="0" fontId="0" fillId="0" borderId="43" xfId="0" applyBorder="1"/>
    <xf numFmtId="0" fontId="5" fillId="0" borderId="0" xfId="0" applyFont="1"/>
    <xf numFmtId="0" fontId="5" fillId="0" borderId="1" xfId="0" applyFont="1" applyBorder="1"/>
    <xf numFmtId="0" fontId="18" fillId="0" borderId="48" xfId="0" applyFont="1" applyBorder="1"/>
    <xf numFmtId="0" fontId="5" fillId="3" borderId="0" xfId="0" applyFont="1" applyFill="1"/>
    <xf numFmtId="0" fontId="5" fillId="0" borderId="1" xfId="0" quotePrefix="1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5" fillId="0" borderId="0" xfId="0" quotePrefix="1" applyFont="1"/>
    <xf numFmtId="0" fontId="5" fillId="0" borderId="0" xfId="0" applyFont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4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6" fillId="3" borderId="1" xfId="0" applyFont="1" applyFill="1" applyBorder="1"/>
    <xf numFmtId="0" fontId="5" fillId="5" borderId="0" xfId="0" applyFont="1" applyFill="1"/>
    <xf numFmtId="0" fontId="16" fillId="12" borderId="1" xfId="0" applyFont="1" applyFill="1" applyBorder="1"/>
    <xf numFmtId="0" fontId="16" fillId="10" borderId="48" xfId="0" applyFont="1" applyFill="1" applyBorder="1" applyAlignment="1">
      <alignment horizontal="center" vertical="center"/>
    </xf>
    <xf numFmtId="0" fontId="16" fillId="13" borderId="48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9" borderId="48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48" xfId="0" quotePrefix="1" applyFont="1" applyBorder="1"/>
    <xf numFmtId="0" fontId="5" fillId="0" borderId="48" xfId="0" applyFont="1" applyBorder="1"/>
    <xf numFmtId="0" fontId="0" fillId="0" borderId="29" xfId="0" applyBorder="1" applyAlignment="1">
      <alignment horizontal="center"/>
    </xf>
    <xf numFmtId="0" fontId="0" fillId="0" borderId="29" xfId="0" applyBorder="1"/>
    <xf numFmtId="0" fontId="10" fillId="0" borderId="29" xfId="0" applyFont="1" applyBorder="1"/>
    <xf numFmtId="2" fontId="0" fillId="0" borderId="29" xfId="0" applyNumberFormat="1" applyBorder="1"/>
    <xf numFmtId="0" fontId="0" fillId="0" borderId="49" xfId="0" applyBorder="1"/>
    <xf numFmtId="0" fontId="4" fillId="0" borderId="48" xfId="0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49" fontId="21" fillId="6" borderId="48" xfId="2" applyNumberFormat="1" applyFont="1" applyFill="1" applyBorder="1" applyAlignment="1">
      <alignment horizontal="center" vertical="center"/>
    </xf>
    <xf numFmtId="2" fontId="0" fillId="0" borderId="48" xfId="0" applyNumberFormat="1" applyBorder="1"/>
    <xf numFmtId="0" fontId="2" fillId="0" borderId="1" xfId="0" applyFont="1" applyBorder="1"/>
    <xf numFmtId="0" fontId="16" fillId="0" borderId="1" xfId="0" applyFont="1" applyBorder="1"/>
    <xf numFmtId="0" fontId="1" fillId="0" borderId="1" xfId="0" applyFont="1" applyBorder="1"/>
    <xf numFmtId="0" fontId="1" fillId="0" borderId="48" xfId="0" applyFont="1" applyBorder="1" applyAlignment="1">
      <alignment horizontal="center" vertical="center"/>
    </xf>
    <xf numFmtId="0" fontId="1" fillId="0" borderId="48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57" fillId="0" borderId="0" xfId="0" applyFont="1" applyAlignment="1">
      <alignment vertical="center"/>
    </xf>
    <xf numFmtId="0" fontId="58" fillId="0" borderId="0" xfId="0" applyFont="1" applyAlignment="1">
      <alignment horizontal="left" vertical="center" indent="5"/>
    </xf>
    <xf numFmtId="0" fontId="60" fillId="0" borderId="0" xfId="0" applyFont="1" applyAlignment="1">
      <alignment horizontal="left" vertical="center" indent="5"/>
    </xf>
    <xf numFmtId="0" fontId="60" fillId="0" borderId="0" xfId="0" applyFont="1" applyAlignment="1">
      <alignment vertical="center"/>
    </xf>
    <xf numFmtId="0" fontId="62" fillId="0" borderId="0" xfId="0" applyFont="1" applyAlignment="1">
      <alignment horizontal="left" vertical="center" indent="5"/>
    </xf>
    <xf numFmtId="0" fontId="62" fillId="0" borderId="0" xfId="0" applyFont="1" applyAlignment="1">
      <alignment vertical="center"/>
    </xf>
    <xf numFmtId="0" fontId="16" fillId="0" borderId="0" xfId="0" applyFont="1"/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6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16" borderId="48" xfId="0" applyFont="1" applyFill="1" applyBorder="1" applyAlignment="1">
      <alignment horizontal="left" vertical="top" wrapText="1"/>
    </xf>
    <xf numFmtId="0" fontId="5" fillId="16" borderId="48" xfId="0" applyFont="1" applyFill="1" applyBorder="1" applyAlignment="1">
      <alignment horizontal="left" vertical="top"/>
    </xf>
    <xf numFmtId="0" fontId="22" fillId="5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9" fillId="0" borderId="5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15" fontId="31" fillId="0" borderId="9" xfId="0" applyNumberFormat="1" applyFont="1" applyBorder="1" applyAlignment="1">
      <alignment horizontal="left" vertical="center" wrapText="1"/>
    </xf>
    <xf numFmtId="15" fontId="31" fillId="0" borderId="10" xfId="0" applyNumberFormat="1" applyFont="1" applyBorder="1" applyAlignment="1">
      <alignment horizontal="left" vertical="center" wrapText="1"/>
    </xf>
    <xf numFmtId="15" fontId="31" fillId="0" borderId="11" xfId="0" applyNumberFormat="1" applyFont="1" applyBorder="1" applyAlignment="1">
      <alignment horizontal="left" vertical="center" wrapText="1"/>
    </xf>
    <xf numFmtId="166" fontId="31" fillId="0" borderId="9" xfId="0" quotePrefix="1" applyNumberFormat="1" applyFont="1" applyBorder="1" applyAlignment="1">
      <alignment horizontal="center" vertical="center" wrapText="1"/>
    </xf>
    <xf numFmtId="166" fontId="31" fillId="0" borderId="10" xfId="0" quotePrefix="1" applyNumberFormat="1" applyFont="1" applyBorder="1" applyAlignment="1">
      <alignment horizontal="center" vertical="center" wrapText="1"/>
    </xf>
    <xf numFmtId="166" fontId="31" fillId="0" borderId="11" xfId="0" applyNumberFormat="1" applyFont="1" applyBorder="1" applyAlignment="1">
      <alignment horizontal="center" vertical="center" wrapText="1"/>
    </xf>
    <xf numFmtId="1" fontId="31" fillId="0" borderId="9" xfId="0" quotePrefix="1" applyNumberFormat="1" applyFont="1" applyBorder="1" applyAlignment="1">
      <alignment horizontal="center" vertical="center" wrapText="1"/>
    </xf>
    <xf numFmtId="1" fontId="31" fillId="0" borderId="12" xfId="0" applyNumberFormat="1" applyFont="1" applyBorder="1" applyAlignment="1">
      <alignment horizontal="center" vertical="center" wrapText="1"/>
    </xf>
    <xf numFmtId="0" fontId="29" fillId="0" borderId="13" xfId="0" applyFont="1" applyBorder="1" applyAlignment="1">
      <alignment horizontal="left" vertical="center" wrapText="1"/>
    </xf>
    <xf numFmtId="0" fontId="29" fillId="0" borderId="14" xfId="0" applyFont="1" applyBorder="1" applyAlignment="1">
      <alignment horizontal="left" vertical="center" wrapText="1"/>
    </xf>
    <xf numFmtId="0" fontId="29" fillId="0" borderId="15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left" vertical="center" wrapText="1"/>
    </xf>
    <xf numFmtId="0" fontId="31" fillId="0" borderId="9" xfId="0" applyFont="1" applyBorder="1" applyAlignment="1">
      <alignment horizontal="left" vertical="center" wrapText="1"/>
    </xf>
    <xf numFmtId="0" fontId="31" fillId="0" borderId="10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 wrapText="1"/>
    </xf>
    <xf numFmtId="49" fontId="31" fillId="0" borderId="9" xfId="0" applyNumberFormat="1" applyFont="1" applyBorder="1" applyAlignment="1">
      <alignment horizontal="center" vertical="center" wrapText="1"/>
    </xf>
    <xf numFmtId="49" fontId="31" fillId="0" borderId="10" xfId="0" applyNumberFormat="1" applyFont="1" applyBorder="1" applyAlignment="1">
      <alignment horizontal="center" vertical="center" wrapText="1"/>
    </xf>
    <xf numFmtId="49" fontId="31" fillId="0" borderId="11" xfId="0" applyNumberFormat="1" applyFont="1" applyBorder="1" applyAlignment="1">
      <alignment horizontal="center" vertical="center" wrapText="1"/>
    </xf>
    <xf numFmtId="166" fontId="31" fillId="0" borderId="9" xfId="0" applyNumberFormat="1" applyFont="1" applyBorder="1" applyAlignment="1">
      <alignment horizontal="center" vertical="center" wrapText="1"/>
    </xf>
    <xf numFmtId="166" fontId="31" fillId="0" borderId="12" xfId="0" applyNumberFormat="1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0" fontId="29" fillId="0" borderId="14" xfId="0" applyFont="1" applyBorder="1" applyAlignment="1">
      <alignment horizontal="left" vertical="center"/>
    </xf>
    <xf numFmtId="0" fontId="29" fillId="0" borderId="15" xfId="0" applyFont="1" applyBorder="1" applyAlignment="1">
      <alignment horizontal="left" vertical="center"/>
    </xf>
    <xf numFmtId="0" fontId="31" fillId="0" borderId="9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2" fillId="7" borderId="17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0" fontId="32" fillId="7" borderId="20" xfId="0" applyFont="1" applyFill="1" applyBorder="1" applyAlignment="1">
      <alignment horizontal="center" vertical="center" wrapText="1"/>
    </xf>
    <xf numFmtId="0" fontId="32" fillId="7" borderId="18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168" fontId="32" fillId="7" borderId="1" xfId="0" applyNumberFormat="1" applyFont="1" applyFill="1" applyBorder="1" applyAlignment="1">
      <alignment horizontal="center" vertical="center" wrapText="1"/>
    </xf>
    <xf numFmtId="168" fontId="32" fillId="7" borderId="20" xfId="0" applyNumberFormat="1" applyFont="1" applyFill="1" applyBorder="1" applyAlignment="1">
      <alignment horizontal="center" vertical="center" wrapText="1"/>
    </xf>
    <xf numFmtId="0" fontId="32" fillId="7" borderId="22" xfId="0" applyFont="1" applyFill="1" applyBorder="1" applyAlignment="1">
      <alignment horizontal="center" vertical="center" wrapText="1"/>
    </xf>
    <xf numFmtId="0" fontId="32" fillId="7" borderId="19" xfId="0" applyFont="1" applyFill="1" applyBorder="1" applyAlignment="1">
      <alignment horizontal="center" vertical="center" wrapText="1"/>
    </xf>
    <xf numFmtId="165" fontId="35" fillId="0" borderId="20" xfId="12" applyFont="1" applyFill="1" applyBorder="1" applyAlignment="1">
      <alignment horizontal="center" vertical="center" wrapText="1"/>
    </xf>
    <xf numFmtId="165" fontId="35" fillId="0" borderId="23" xfId="12" applyFont="1" applyFill="1" applyBorder="1" applyAlignment="1">
      <alignment horizontal="center" vertical="center" wrapText="1"/>
    </xf>
    <xf numFmtId="165" fontId="36" fillId="5" borderId="21" xfId="12" applyFont="1" applyFill="1" applyBorder="1" applyAlignment="1">
      <alignment horizontal="center" vertical="center" wrapText="1"/>
    </xf>
    <xf numFmtId="165" fontId="36" fillId="5" borderId="24" xfId="12" applyFont="1" applyFill="1" applyBorder="1" applyAlignment="1">
      <alignment horizontal="center" vertical="center" wrapText="1"/>
    </xf>
    <xf numFmtId="1" fontId="27" fillId="5" borderId="1" xfId="8" quotePrefix="1" applyNumberFormat="1" applyFont="1" applyFill="1" applyBorder="1" applyAlignment="1">
      <alignment horizontal="center" vertical="center" wrapText="1"/>
    </xf>
    <xf numFmtId="1" fontId="27" fillId="5" borderId="1" xfId="8" quotePrefix="1" applyNumberFormat="1" applyFont="1" applyFill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41" fillId="0" borderId="0" xfId="0" quotePrefix="1" applyFont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1" fillId="0" borderId="10" xfId="0" applyFont="1" applyBorder="1" applyAlignment="1">
      <alignment horizontal="center" vertical="center" wrapText="1"/>
    </xf>
    <xf numFmtId="0" fontId="44" fillId="7" borderId="32" xfId="0" applyFont="1" applyFill="1" applyBorder="1" applyAlignment="1">
      <alignment horizontal="center" vertical="center" wrapText="1"/>
    </xf>
    <xf numFmtId="0" fontId="44" fillId="7" borderId="34" xfId="0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center" vertical="center" wrapText="1"/>
    </xf>
    <xf numFmtId="0" fontId="44" fillId="7" borderId="20" xfId="0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center" vertical="center"/>
    </xf>
    <xf numFmtId="169" fontId="45" fillId="7" borderId="20" xfId="12" applyNumberFormat="1" applyFont="1" applyFill="1" applyBorder="1" applyAlignment="1">
      <alignment horizontal="center" vertical="center" wrapText="1"/>
    </xf>
    <xf numFmtId="169" fontId="45" fillId="7" borderId="22" xfId="12" applyNumberFormat="1" applyFont="1" applyFill="1" applyBorder="1" applyAlignment="1">
      <alignment horizontal="center" vertical="center" wrapText="1"/>
    </xf>
    <xf numFmtId="0" fontId="44" fillId="7" borderId="22" xfId="0" applyFont="1" applyFill="1" applyBorder="1" applyAlignment="1">
      <alignment horizontal="center" vertical="center" wrapText="1"/>
    </xf>
    <xf numFmtId="0" fontId="44" fillId="7" borderId="33" xfId="0" applyFont="1" applyFill="1" applyBorder="1" applyAlignment="1">
      <alignment horizontal="center" vertical="center" wrapText="1"/>
    </xf>
    <xf numFmtId="0" fontId="44" fillId="7" borderId="35" xfId="0" applyFont="1" applyFill="1" applyBorder="1" applyAlignment="1">
      <alignment horizontal="center" vertical="center" wrapText="1"/>
    </xf>
    <xf numFmtId="0" fontId="47" fillId="0" borderId="20" xfId="0" applyFont="1" applyBorder="1" applyAlignment="1">
      <alignment horizontal="left" vertical="center" wrapText="1"/>
    </xf>
    <xf numFmtId="0" fontId="47" fillId="0" borderId="22" xfId="0" applyFont="1" applyBorder="1" applyAlignment="1">
      <alignment horizontal="left" vertical="center" wrapText="1"/>
    </xf>
    <xf numFmtId="0" fontId="49" fillId="0" borderId="33" xfId="0" applyFont="1" applyBorder="1" applyAlignment="1">
      <alignment horizontal="center" vertical="center" wrapText="1"/>
    </xf>
    <xf numFmtId="1" fontId="31" fillId="0" borderId="12" xfId="0" quotePrefix="1" applyNumberFormat="1" applyFont="1" applyBorder="1" applyAlignment="1">
      <alignment horizontal="center" vertical="center" wrapText="1"/>
    </xf>
    <xf numFmtId="166" fontId="35" fillId="0" borderId="9" xfId="0" applyNumberFormat="1" applyFont="1" applyBorder="1" applyAlignment="1">
      <alignment horizontal="center" vertical="center" wrapText="1"/>
    </xf>
    <xf numFmtId="166" fontId="35" fillId="0" borderId="10" xfId="0" applyNumberFormat="1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168" fontId="24" fillId="0" borderId="41" xfId="0" applyNumberFormat="1" applyFont="1" applyBorder="1" applyAlignment="1">
      <alignment horizontal="center" vertical="center"/>
    </xf>
    <xf numFmtId="168" fontId="24" fillId="0" borderId="44" xfId="0" applyNumberFormat="1" applyFont="1" applyBorder="1" applyAlignment="1">
      <alignment horizontal="center" vertical="center"/>
    </xf>
    <xf numFmtId="0" fontId="44" fillId="7" borderId="13" xfId="0" applyFont="1" applyFill="1" applyBorder="1" applyAlignment="1">
      <alignment horizontal="center" vertical="center" wrapText="1"/>
    </xf>
    <xf numFmtId="0" fontId="44" fillId="7" borderId="14" xfId="0" applyFont="1" applyFill="1" applyBorder="1" applyAlignment="1">
      <alignment horizontal="center" vertical="center" wrapText="1"/>
    </xf>
    <xf numFmtId="0" fontId="44" fillId="7" borderId="15" xfId="0" applyFont="1" applyFill="1" applyBorder="1" applyAlignment="1">
      <alignment horizontal="center" vertical="center" wrapText="1"/>
    </xf>
    <xf numFmtId="168" fontId="44" fillId="7" borderId="1" xfId="0" applyNumberFormat="1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left" vertical="center" wrapText="1"/>
    </xf>
    <xf numFmtId="0" fontId="33" fillId="0" borderId="37" xfId="0" applyFont="1" applyBorder="1" applyAlignment="1">
      <alignment horizontal="left" vertical="center" wrapText="1"/>
    </xf>
    <xf numFmtId="0" fontId="33" fillId="0" borderId="18" xfId="0" applyFont="1" applyBorder="1" applyAlignment="1">
      <alignment horizontal="left" vertical="center" wrapText="1"/>
    </xf>
    <xf numFmtId="0" fontId="33" fillId="0" borderId="35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170" fontId="40" fillId="0" borderId="20" xfId="8" applyNumberFormat="1" applyFont="1" applyFill="1" applyBorder="1" applyAlignment="1">
      <alignment horizontal="center" vertical="center" wrapText="1"/>
    </xf>
    <xf numFmtId="170" fontId="40" fillId="0" borderId="23" xfId="8" applyNumberFormat="1" applyFont="1" applyFill="1" applyBorder="1" applyAlignment="1">
      <alignment horizontal="center" vertical="center" wrapText="1"/>
    </xf>
    <xf numFmtId="170" fontId="40" fillId="0" borderId="22" xfId="8" applyNumberFormat="1" applyFont="1" applyFill="1" applyBorder="1" applyAlignment="1">
      <alignment horizontal="center" vertical="center" wrapText="1"/>
    </xf>
    <xf numFmtId="168" fontId="27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1" fillId="0" borderId="48" xfId="0" quotePrefix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48" xfId="0" applyBorder="1" applyAlignment="1">
      <alignment horizontal="center" vertical="center"/>
    </xf>
    <xf numFmtId="0" fontId="0" fillId="17" borderId="48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/>
    <xf numFmtId="16" fontId="1" fillId="0" borderId="0" xfId="0" applyNumberFormat="1" applyFont="1"/>
  </cellXfs>
  <cellStyles count="14">
    <cellStyle name="Comma" xfId="12" builtinId="3"/>
    <cellStyle name="Comma 2" xfId="3"/>
    <cellStyle name="Comma 2 2" xfId="8"/>
    <cellStyle name="Comma 2 3" xfId="7"/>
    <cellStyle name="Comma 3 2" xfId="6"/>
    <cellStyle name="Comma 5 2" xfId="10"/>
    <cellStyle name="Normal" xfId="0" builtinId="0"/>
    <cellStyle name="Normal 2" xfId="1"/>
    <cellStyle name="Normal 2 2 2 2" xfId="5"/>
    <cellStyle name="Normal 2 2 2 2 2" xfId="11"/>
    <cellStyle name="Normal 2 3" xfId="2"/>
    <cellStyle name="Normal 4" xfId="9"/>
    <cellStyle name="Normal 7" xfId="4"/>
    <cellStyle name="Normal_Import data" xfId="13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FF"/>
      <color rgb="FFFFFF99"/>
      <color rgb="FF66FF99"/>
      <color rgb="FFFF66CC"/>
      <color rgb="FF33CCFF"/>
      <color rgb="FF00FA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72887</xdr:colOff>
      <xdr:row>24</xdr:row>
      <xdr:rowOff>152400</xdr:rowOff>
    </xdr:from>
    <xdr:to>
      <xdr:col>10</xdr:col>
      <xdr:colOff>359465</xdr:colOff>
      <xdr:row>32</xdr:row>
      <xdr:rowOff>181389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5612" y="6534150"/>
          <a:ext cx="3029778" cy="15529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20</xdr:row>
      <xdr:rowOff>85725</xdr:rowOff>
    </xdr:from>
    <xdr:to>
      <xdr:col>2</xdr:col>
      <xdr:colOff>1533525</xdr:colOff>
      <xdr:row>32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705475"/>
          <a:ext cx="2752725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J527" totalsRowShown="0">
  <autoFilter ref="A1:J527"/>
  <tableColumns count="10">
    <tableColumn id="16" name="Mã sản phẩm" dataDxfId="7"/>
    <tableColumn id="19" name="Mô tả chung" dataDxfId="6"/>
    <tableColumn id="2" name="Loại đá"/>
    <tableColumn id="3" name="Loại sản phẩm"/>
    <tableColumn id="4" name="Gia công"/>
    <tableColumn id="5" name="D"/>
    <tableColumn id="6" name="R"/>
    <tableColumn id="7" name="C"/>
    <tableColumn id="8" name="Đóng gói"/>
    <tableColumn id="9" name="Ghi chú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workbookViewId="0">
      <selection activeCell="U5" sqref="U5"/>
    </sheetView>
  </sheetViews>
  <sheetFormatPr defaultRowHeight="15"/>
  <cols>
    <col min="1" max="1" width="11.5703125" customWidth="1"/>
    <col min="2" max="3" width="3.42578125" customWidth="1"/>
    <col min="4" max="4" width="0.42578125" customWidth="1"/>
    <col min="5" max="6" width="3.42578125" customWidth="1"/>
    <col min="7" max="7" width="0.42578125" customWidth="1"/>
    <col min="8" max="14" width="3.42578125" customWidth="1"/>
    <col min="15" max="15" width="0.5703125" customWidth="1"/>
    <col min="16" max="18" width="3.42578125" customWidth="1"/>
    <col min="19" max="19" width="0.5703125" customWidth="1"/>
  </cols>
  <sheetData>
    <row r="1" spans="1:21" ht="18.75">
      <c r="A1" s="6" t="s">
        <v>0</v>
      </c>
    </row>
    <row r="3" spans="1:21">
      <c r="B3">
        <v>1</v>
      </c>
      <c r="C3">
        <v>2</v>
      </c>
      <c r="E3">
        <v>3</v>
      </c>
      <c r="F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P3">
        <v>12</v>
      </c>
      <c r="Q3">
        <v>13</v>
      </c>
      <c r="R3">
        <v>14</v>
      </c>
      <c r="U3" t="s">
        <v>1654</v>
      </c>
    </row>
    <row r="4" spans="1:21">
      <c r="B4" s="1"/>
      <c r="C4" s="1"/>
      <c r="E4" s="1"/>
      <c r="F4" s="1"/>
      <c r="H4" s="1"/>
      <c r="I4" s="1"/>
      <c r="J4" s="1"/>
      <c r="K4" s="1"/>
      <c r="L4" s="1"/>
      <c r="M4" s="1"/>
      <c r="N4" s="1"/>
      <c r="P4" s="1"/>
      <c r="Q4" s="1"/>
      <c r="R4" s="1"/>
      <c r="U4" t="s">
        <v>1655</v>
      </c>
    </row>
    <row r="7" spans="1:21">
      <c r="A7" t="s">
        <v>1</v>
      </c>
      <c r="B7" t="s">
        <v>2</v>
      </c>
    </row>
    <row r="8" spans="1:21">
      <c r="A8" t="s">
        <v>3</v>
      </c>
      <c r="B8" t="s">
        <v>4</v>
      </c>
    </row>
    <row r="9" spans="1:21">
      <c r="A9" s="20">
        <v>5</v>
      </c>
      <c r="B9" s="17" t="s">
        <v>1648</v>
      </c>
    </row>
    <row r="10" spans="1:21">
      <c r="A10" s="17" t="s">
        <v>1647</v>
      </c>
      <c r="B10" s="17" t="s">
        <v>1649</v>
      </c>
    </row>
    <row r="11" spans="1:21">
      <c r="A11" s="20">
        <v>10</v>
      </c>
      <c r="B11" s="17" t="s">
        <v>1650</v>
      </c>
    </row>
    <row r="12" spans="1:21">
      <c r="A12" s="20">
        <v>11</v>
      </c>
      <c r="B12" s="17" t="s">
        <v>1651</v>
      </c>
    </row>
    <row r="13" spans="1:21">
      <c r="A13" s="18" t="s">
        <v>1636</v>
      </c>
      <c r="B13" t="s">
        <v>5</v>
      </c>
    </row>
    <row r="15" spans="1:21">
      <c r="A15" t="s">
        <v>6</v>
      </c>
      <c r="B15" s="1" t="s">
        <v>7</v>
      </c>
      <c r="C15" s="1" t="s">
        <v>8</v>
      </c>
      <c r="E15" s="1">
        <v>0</v>
      </c>
      <c r="F15" s="1">
        <v>1</v>
      </c>
      <c r="H15" s="19" t="s">
        <v>1622</v>
      </c>
      <c r="I15" s="19" t="s">
        <v>1620</v>
      </c>
      <c r="J15" s="19" t="s">
        <v>1620</v>
      </c>
      <c r="K15" s="19" t="s">
        <v>1620</v>
      </c>
      <c r="L15" s="19" t="s">
        <v>1620</v>
      </c>
      <c r="M15" s="19" t="s">
        <v>7</v>
      </c>
      <c r="N15" s="1"/>
      <c r="P15" s="1">
        <v>1</v>
      </c>
      <c r="Q15" s="1">
        <v>2</v>
      </c>
      <c r="R15" s="1">
        <v>0</v>
      </c>
    </row>
    <row r="16" spans="1:21" ht="5.25" customHeight="1"/>
    <row r="17" spans="2:20">
      <c r="B17" s="255" t="s">
        <v>1637</v>
      </c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</row>
    <row r="18" spans="2:20">
      <c r="B18" s="1" t="s">
        <v>7</v>
      </c>
      <c r="C18" s="1" t="s">
        <v>8</v>
      </c>
      <c r="E18" t="s">
        <v>9</v>
      </c>
    </row>
    <row r="19" spans="2:20">
      <c r="E19" s="1">
        <v>0</v>
      </c>
      <c r="F19" s="1">
        <v>1</v>
      </c>
      <c r="H19" t="s">
        <v>10</v>
      </c>
    </row>
    <row r="20" spans="2:20">
      <c r="H20" s="19" t="s">
        <v>1622</v>
      </c>
    </row>
    <row r="21" spans="2:20">
      <c r="I21" s="19" t="s">
        <v>1620</v>
      </c>
      <c r="J21" s="19" t="s">
        <v>1620</v>
      </c>
      <c r="K21" s="19" t="s">
        <v>1620</v>
      </c>
      <c r="L21" s="19" t="s">
        <v>1620</v>
      </c>
      <c r="M21" s="17" t="s">
        <v>1638</v>
      </c>
    </row>
    <row r="22" spans="2:20">
      <c r="M22" s="19" t="s">
        <v>7</v>
      </c>
      <c r="N22" s="17" t="s">
        <v>1640</v>
      </c>
    </row>
    <row r="23" spans="2:20">
      <c r="P23" s="1">
        <v>1</v>
      </c>
      <c r="Q23" s="1">
        <v>2</v>
      </c>
      <c r="R23" s="1">
        <v>0</v>
      </c>
      <c r="T23" s="17" t="s">
        <v>1639</v>
      </c>
    </row>
    <row r="24" spans="2:20" ht="30" customHeight="1">
      <c r="B24" s="257" t="s">
        <v>1652</v>
      </c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O24" s="258"/>
      <c r="P24" s="258"/>
      <c r="Q24" s="258"/>
      <c r="R24" s="258"/>
    </row>
  </sheetData>
  <mergeCells count="2">
    <mergeCell ref="B17:R17"/>
    <mergeCell ref="B24:R2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7"/>
  <sheetViews>
    <sheetView showGridLines="0" tabSelected="1" workbookViewId="0">
      <selection activeCell="Z18" sqref="Z18"/>
    </sheetView>
  </sheetViews>
  <sheetFormatPr defaultRowHeight="15"/>
  <cols>
    <col min="1" max="1" width="11.5703125" customWidth="1"/>
    <col min="2" max="3" width="3.42578125" customWidth="1"/>
    <col min="4" max="4" width="0.42578125" customWidth="1"/>
    <col min="5" max="5" width="3.42578125" customWidth="1"/>
    <col min="6" max="6" width="2" customWidth="1"/>
    <col min="7" max="7" width="3.42578125" customWidth="1"/>
    <col min="8" max="8" width="0.42578125" customWidth="1"/>
    <col min="9" max="12" width="3.42578125" customWidth="1"/>
    <col min="13" max="13" width="1.7109375" bestFit="1" customWidth="1"/>
    <col min="14" max="17" width="3.42578125" customWidth="1"/>
    <col min="18" max="18" width="0.5703125" customWidth="1"/>
    <col min="19" max="21" width="3.42578125" customWidth="1"/>
    <col min="22" max="22" width="0.7109375" customWidth="1"/>
    <col min="23" max="25" width="3.42578125" customWidth="1"/>
    <col min="26" max="26" width="35.42578125" customWidth="1"/>
  </cols>
  <sheetData>
    <row r="1" spans="1:30" ht="18.75">
      <c r="A1" s="6" t="s">
        <v>0</v>
      </c>
    </row>
    <row r="3" spans="1:30">
      <c r="B3" s="209">
        <v>1</v>
      </c>
      <c r="C3" s="209">
        <v>2</v>
      </c>
      <c r="D3" s="209"/>
      <c r="E3" s="209">
        <v>3</v>
      </c>
      <c r="F3" s="209"/>
      <c r="G3" s="209">
        <v>4</v>
      </c>
      <c r="H3" s="209"/>
      <c r="I3" s="209">
        <v>5</v>
      </c>
      <c r="J3" s="209">
        <v>6</v>
      </c>
      <c r="K3" s="209">
        <v>7</v>
      </c>
      <c r="L3" s="209">
        <v>8</v>
      </c>
      <c r="M3" s="209"/>
      <c r="N3" s="209">
        <v>9</v>
      </c>
      <c r="O3" s="209">
        <v>10</v>
      </c>
      <c r="P3" s="209">
        <v>11</v>
      </c>
      <c r="Q3" s="209">
        <v>12</v>
      </c>
      <c r="R3" s="209"/>
      <c r="S3" s="209">
        <v>13</v>
      </c>
      <c r="T3" s="209">
        <v>14</v>
      </c>
      <c r="U3" s="209">
        <v>15</v>
      </c>
      <c r="V3" s="209"/>
      <c r="W3" s="209">
        <v>16</v>
      </c>
      <c r="X3" s="209">
        <v>17</v>
      </c>
      <c r="Y3" s="209">
        <v>18</v>
      </c>
      <c r="AD3" t="s">
        <v>1654</v>
      </c>
    </row>
    <row r="4" spans="1:30">
      <c r="B4" s="224"/>
      <c r="C4" s="224"/>
      <c r="D4" s="209"/>
      <c r="E4" s="225"/>
      <c r="F4" s="355" t="s">
        <v>3015</v>
      </c>
      <c r="G4" s="225"/>
      <c r="H4" s="209"/>
      <c r="I4" s="226"/>
      <c r="J4" s="226"/>
      <c r="K4" s="226"/>
      <c r="L4" s="227"/>
      <c r="M4" s="210" t="s">
        <v>1661</v>
      </c>
      <c r="N4" s="228"/>
      <c r="O4" s="228"/>
      <c r="P4" s="228"/>
      <c r="Q4" s="228"/>
      <c r="R4" s="209"/>
      <c r="S4" s="223"/>
      <c r="T4" s="356"/>
      <c r="U4" s="223"/>
      <c r="V4" s="209"/>
      <c r="W4" s="229"/>
      <c r="X4" s="229"/>
      <c r="Y4" s="229"/>
      <c r="AD4" t="s">
        <v>1655</v>
      </c>
    </row>
    <row r="6" spans="1:30">
      <c r="A6" t="s">
        <v>1</v>
      </c>
      <c r="B6" s="197" t="s">
        <v>2889</v>
      </c>
    </row>
    <row r="7" spans="1:30">
      <c r="A7" t="s">
        <v>3</v>
      </c>
      <c r="B7" s="197" t="s">
        <v>2890</v>
      </c>
    </row>
    <row r="8" spans="1:30">
      <c r="A8" s="21" t="s">
        <v>1656</v>
      </c>
      <c r="B8" s="197" t="s">
        <v>2891</v>
      </c>
    </row>
    <row r="9" spans="1:30">
      <c r="A9" s="21">
        <v>8</v>
      </c>
      <c r="B9" s="197" t="s">
        <v>1657</v>
      </c>
    </row>
    <row r="10" spans="1:30">
      <c r="A10" s="21" t="s">
        <v>1658</v>
      </c>
      <c r="B10" s="22" t="s">
        <v>1659</v>
      </c>
    </row>
    <row r="11" spans="1:30">
      <c r="A11" s="357" t="s">
        <v>3016</v>
      </c>
      <c r="B11" s="358" t="s">
        <v>3017</v>
      </c>
    </row>
    <row r="12" spans="1:30">
      <c r="A12" s="359" t="s">
        <v>3018</v>
      </c>
      <c r="B12" t="s">
        <v>1660</v>
      </c>
      <c r="J12" t="s">
        <v>3019</v>
      </c>
    </row>
    <row r="14" spans="1:30">
      <c r="A14" t="s">
        <v>6</v>
      </c>
      <c r="B14" s="52" t="s">
        <v>7</v>
      </c>
      <c r="C14" s="52" t="s">
        <v>8</v>
      </c>
      <c r="D14" s="209"/>
      <c r="E14" s="52">
        <v>1</v>
      </c>
      <c r="F14" s="354" t="s">
        <v>3015</v>
      </c>
      <c r="G14" s="52">
        <v>1</v>
      </c>
      <c r="H14" s="209"/>
      <c r="I14" s="211" t="s">
        <v>8</v>
      </c>
      <c r="J14" s="211" t="s">
        <v>1621</v>
      </c>
      <c r="K14" s="211" t="s">
        <v>1662</v>
      </c>
      <c r="L14" s="212">
        <v>2</v>
      </c>
      <c r="M14" s="213" t="s">
        <v>1661</v>
      </c>
      <c r="N14" s="212">
        <v>0</v>
      </c>
      <c r="O14" s="212">
        <v>6</v>
      </c>
      <c r="P14" s="212">
        <v>0</v>
      </c>
      <c r="Q14" s="52">
        <v>0</v>
      </c>
      <c r="R14" s="209"/>
      <c r="S14" s="52">
        <v>3</v>
      </c>
      <c r="T14" s="354">
        <v>0</v>
      </c>
      <c r="U14" s="52">
        <v>0</v>
      </c>
      <c r="V14" s="209"/>
      <c r="W14" s="52">
        <v>0</v>
      </c>
      <c r="X14" s="52">
        <v>6</v>
      </c>
      <c r="Y14" s="52">
        <v>0</v>
      </c>
    </row>
    <row r="15" spans="1:30" ht="5.25" customHeight="1"/>
    <row r="16" spans="1:30">
      <c r="B16" s="259" t="s">
        <v>1664</v>
      </c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</row>
    <row r="17" spans="1:27">
      <c r="B17" s="52" t="s">
        <v>7</v>
      </c>
      <c r="C17" s="52" t="s">
        <v>8</v>
      </c>
      <c r="E17" t="s">
        <v>9</v>
      </c>
    </row>
    <row r="18" spans="1:27">
      <c r="E18" s="52">
        <v>1</v>
      </c>
      <c r="F18" s="354" t="s">
        <v>3015</v>
      </c>
      <c r="G18" s="52">
        <v>1</v>
      </c>
      <c r="I18" t="s">
        <v>3020</v>
      </c>
    </row>
    <row r="19" spans="1:27">
      <c r="I19" s="211" t="s">
        <v>8</v>
      </c>
      <c r="J19" s="52" t="s">
        <v>1621</v>
      </c>
      <c r="K19" s="52" t="s">
        <v>1662</v>
      </c>
      <c r="L19" t="s">
        <v>41</v>
      </c>
    </row>
    <row r="20" spans="1:27">
      <c r="J20" s="17"/>
      <c r="K20" s="17"/>
      <c r="L20" s="212">
        <v>2</v>
      </c>
      <c r="M20" s="213" t="s">
        <v>1661</v>
      </c>
      <c r="N20" s="197" t="s">
        <v>2894</v>
      </c>
      <c r="O20" s="17"/>
      <c r="P20" s="17"/>
    </row>
    <row r="21" spans="1:27">
      <c r="N21" s="52">
        <v>0</v>
      </c>
      <c r="O21" s="212">
        <v>6</v>
      </c>
      <c r="P21" s="212">
        <v>0</v>
      </c>
      <c r="Q21" s="212">
        <v>0</v>
      </c>
      <c r="S21" t="s">
        <v>1663</v>
      </c>
      <c r="U21" t="s">
        <v>1663</v>
      </c>
    </row>
    <row r="22" spans="1:27">
      <c r="S22" s="52">
        <v>3</v>
      </c>
      <c r="T22" s="354">
        <v>0</v>
      </c>
      <c r="U22" s="52">
        <v>0</v>
      </c>
      <c r="W22" t="s">
        <v>2936</v>
      </c>
      <c r="Z22" s="17"/>
    </row>
    <row r="23" spans="1:27">
      <c r="W23" s="52">
        <v>0</v>
      </c>
      <c r="X23" s="52">
        <v>6</v>
      </c>
      <c r="Y23" s="52">
        <v>0</v>
      </c>
      <c r="Z23" s="197" t="s">
        <v>2900</v>
      </c>
    </row>
    <row r="24" spans="1:27">
      <c r="AA24" s="17"/>
    </row>
    <row r="25" spans="1:27">
      <c r="Z25" s="17"/>
    </row>
    <row r="26" spans="1:27" ht="30" customHeight="1">
      <c r="B26" s="260" t="s">
        <v>2997</v>
      </c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8" spans="1:27">
      <c r="A28" t="s">
        <v>6</v>
      </c>
      <c r="B28" s="52" t="s">
        <v>2885</v>
      </c>
      <c r="C28" s="52" t="s">
        <v>2917</v>
      </c>
      <c r="D28" s="209"/>
      <c r="E28" s="52">
        <v>0</v>
      </c>
      <c r="F28" s="354" t="s">
        <v>3015</v>
      </c>
      <c r="G28" s="52">
        <v>6</v>
      </c>
      <c r="H28" s="209"/>
      <c r="I28" s="211" t="s">
        <v>8</v>
      </c>
      <c r="J28" s="211" t="s">
        <v>1621</v>
      </c>
      <c r="K28" s="211" t="s">
        <v>1662</v>
      </c>
      <c r="L28" s="212">
        <v>3</v>
      </c>
      <c r="M28" s="213" t="s">
        <v>1661</v>
      </c>
      <c r="N28" s="212">
        <v>1</v>
      </c>
      <c r="O28" s="212">
        <v>0</v>
      </c>
      <c r="P28" s="212">
        <v>0</v>
      </c>
      <c r="Q28" s="52">
        <v>0</v>
      </c>
      <c r="R28" s="209"/>
      <c r="S28" s="52" t="s">
        <v>1689</v>
      </c>
      <c r="T28" s="354">
        <v>3</v>
      </c>
      <c r="U28" s="52">
        <v>5</v>
      </c>
      <c r="V28" s="209"/>
      <c r="W28" s="52">
        <v>0</v>
      </c>
      <c r="X28" s="52">
        <v>6</v>
      </c>
      <c r="Y28" s="52">
        <v>0</v>
      </c>
    </row>
    <row r="30" spans="1:27">
      <c r="B30" s="259" t="s">
        <v>2927</v>
      </c>
      <c r="C30" s="259"/>
      <c r="D30" s="259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</row>
    <row r="31" spans="1:27">
      <c r="B31" s="52" t="s">
        <v>2885</v>
      </c>
      <c r="C31" s="52" t="s">
        <v>2917</v>
      </c>
      <c r="E31" t="s">
        <v>2918</v>
      </c>
    </row>
    <row r="32" spans="1:27">
      <c r="E32" s="52">
        <v>0</v>
      </c>
      <c r="F32" s="354" t="s">
        <v>3015</v>
      </c>
      <c r="G32" s="52">
        <v>6</v>
      </c>
      <c r="I32" t="s">
        <v>2919</v>
      </c>
    </row>
    <row r="33" spans="2:26">
      <c r="I33" s="211" t="s">
        <v>8</v>
      </c>
      <c r="J33" s="52" t="s">
        <v>1621</v>
      </c>
      <c r="K33" s="52" t="s">
        <v>1662</v>
      </c>
      <c r="L33" t="s">
        <v>41</v>
      </c>
    </row>
    <row r="34" spans="2:26">
      <c r="J34" s="17"/>
      <c r="K34" s="17"/>
      <c r="L34" s="212">
        <v>3</v>
      </c>
      <c r="M34" s="213" t="s">
        <v>1661</v>
      </c>
      <c r="N34" s="197" t="s">
        <v>2895</v>
      </c>
      <c r="O34" s="17"/>
      <c r="P34" s="17"/>
    </row>
    <row r="35" spans="2:26">
      <c r="N35" s="52">
        <v>1</v>
      </c>
      <c r="O35" s="212">
        <v>0</v>
      </c>
      <c r="P35" s="212">
        <v>0</v>
      </c>
      <c r="Q35" s="212">
        <v>0</v>
      </c>
      <c r="S35" t="s">
        <v>2928</v>
      </c>
      <c r="U35" t="s">
        <v>2928</v>
      </c>
    </row>
    <row r="36" spans="2:26">
      <c r="S36" s="52" t="s">
        <v>1689</v>
      </c>
      <c r="T36" s="354">
        <v>3</v>
      </c>
      <c r="U36" s="52">
        <v>5</v>
      </c>
      <c r="W36" t="s">
        <v>2937</v>
      </c>
      <c r="Z36" s="17"/>
    </row>
    <row r="37" spans="2:26">
      <c r="W37" s="52">
        <v>0</v>
      </c>
      <c r="X37" s="52">
        <v>6</v>
      </c>
      <c r="Y37" s="52">
        <v>0</v>
      </c>
      <c r="Z37" s="197" t="s">
        <v>2929</v>
      </c>
    </row>
    <row r="39" spans="2:26">
      <c r="Z39" s="17"/>
    </row>
    <row r="40" spans="2:26">
      <c r="B40" s="247" t="s">
        <v>2998</v>
      </c>
      <c r="C40" s="230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</row>
    <row r="42" spans="2:26" ht="15.75">
      <c r="B42" s="248" t="s">
        <v>2999</v>
      </c>
    </row>
    <row r="43" spans="2:26" ht="15.75">
      <c r="B43" s="249" t="s">
        <v>3000</v>
      </c>
    </row>
    <row r="44" spans="2:26" s="254" customFormat="1" ht="15.75">
      <c r="B44" s="250" t="s">
        <v>3001</v>
      </c>
    </row>
    <row r="45" spans="2:26" s="254" customFormat="1" ht="15.75">
      <c r="B45" s="250" t="s">
        <v>3002</v>
      </c>
    </row>
    <row r="46" spans="2:26" ht="15.75">
      <c r="B46" s="251" t="s">
        <v>3003</v>
      </c>
    </row>
    <row r="47" spans="2:26" ht="15.75">
      <c r="B47" s="252" t="s">
        <v>3004</v>
      </c>
    </row>
    <row r="48" spans="2:26" ht="15.75">
      <c r="B48" s="253" t="s">
        <v>3005</v>
      </c>
    </row>
    <row r="49" spans="2:2" ht="15.75">
      <c r="B49" s="253" t="s">
        <v>3006</v>
      </c>
    </row>
    <row r="50" spans="2:2" ht="15.75">
      <c r="B50" s="253" t="s">
        <v>3007</v>
      </c>
    </row>
    <row r="51" spans="2:2" ht="15.75">
      <c r="B51" s="252" t="s">
        <v>3008</v>
      </c>
    </row>
    <row r="52" spans="2:2" ht="15.75">
      <c r="B52" s="253" t="s">
        <v>3009</v>
      </c>
    </row>
    <row r="53" spans="2:2" ht="15.75">
      <c r="B53" s="253" t="s">
        <v>3010</v>
      </c>
    </row>
    <row r="54" spans="2:2" ht="15.75">
      <c r="B54" s="253" t="s">
        <v>3011</v>
      </c>
    </row>
    <row r="55" spans="2:2" ht="15.75">
      <c r="B55" s="253" t="s">
        <v>3012</v>
      </c>
    </row>
    <row r="56" spans="2:2" ht="15.75">
      <c r="B56" s="253" t="s">
        <v>3013</v>
      </c>
    </row>
    <row r="57" spans="2:2" ht="15.75">
      <c r="B57" s="251" t="s">
        <v>3014</v>
      </c>
    </row>
  </sheetData>
  <mergeCells count="3">
    <mergeCell ref="B16:Y16"/>
    <mergeCell ref="B26:Z26"/>
    <mergeCell ref="B30:Y30"/>
  </mergeCells>
  <pageMargins left="0.7" right="0.7" top="0.75" bottom="0.75" header="0.3" footer="0.3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M528"/>
  <sheetViews>
    <sheetView zoomScaleNormal="100" workbookViewId="0">
      <pane ySplit="2" topLeftCell="A3" activePane="bottomLeft" state="frozen"/>
      <selection pane="bottomLeft" activeCell="A17" sqref="A17:XFD17"/>
    </sheetView>
  </sheetViews>
  <sheetFormatPr defaultRowHeight="15"/>
  <cols>
    <col min="1" max="1" width="6.85546875" style="29" customWidth="1"/>
    <col min="2" max="2" width="19.7109375" bestFit="1" customWidth="1"/>
    <col min="3" max="3" width="12.5703125" bestFit="1" customWidth="1"/>
    <col min="4" max="4" width="14.7109375" bestFit="1" customWidth="1"/>
    <col min="5" max="5" width="103.5703125" customWidth="1"/>
    <col min="6" max="6" width="8.5703125" bestFit="1" customWidth="1"/>
    <col min="7" max="7" width="7.42578125" bestFit="1" customWidth="1"/>
    <col min="8" max="8" width="5.5703125" bestFit="1" customWidth="1"/>
    <col min="9" max="9" width="8" bestFit="1" customWidth="1"/>
    <col min="10" max="12" width="8" customWidth="1"/>
    <col min="13" max="13" width="43.7109375" bestFit="1" customWidth="1"/>
  </cols>
  <sheetData>
    <row r="2" spans="1:13" s="26" customFormat="1">
      <c r="A2" s="171" t="s">
        <v>2862</v>
      </c>
      <c r="B2" s="171" t="s">
        <v>2863</v>
      </c>
      <c r="C2" s="171" t="s">
        <v>2864</v>
      </c>
      <c r="D2" s="171" t="s">
        <v>2865</v>
      </c>
      <c r="E2" s="171" t="s">
        <v>2866</v>
      </c>
      <c r="F2" s="171" t="s">
        <v>2867</v>
      </c>
      <c r="G2" s="171" t="s">
        <v>2868</v>
      </c>
      <c r="H2" s="171" t="s">
        <v>2869</v>
      </c>
      <c r="I2" s="171" t="s">
        <v>2870</v>
      </c>
      <c r="J2" s="171" t="s">
        <v>2861</v>
      </c>
      <c r="K2" s="171" t="s">
        <v>2871</v>
      </c>
      <c r="L2" s="171" t="s">
        <v>2873</v>
      </c>
      <c r="M2" s="171" t="s">
        <v>2872</v>
      </c>
    </row>
    <row r="3" spans="1:13">
      <c r="A3" s="30">
        <v>1</v>
      </c>
      <c r="B3" s="1" t="s">
        <v>1712</v>
      </c>
      <c r="C3" s="28" t="s">
        <v>2233</v>
      </c>
      <c r="D3" s="1" t="s">
        <v>1694</v>
      </c>
      <c r="E3" s="1" t="s">
        <v>2241</v>
      </c>
      <c r="F3" s="168">
        <v>100</v>
      </c>
      <c r="G3" s="168">
        <v>35</v>
      </c>
      <c r="H3" s="168">
        <v>15</v>
      </c>
      <c r="I3" s="168">
        <v>10</v>
      </c>
      <c r="J3" s="168"/>
      <c r="K3" s="168">
        <v>3</v>
      </c>
      <c r="L3" s="168"/>
      <c r="M3" s="1"/>
    </row>
    <row r="4" spans="1:13">
      <c r="A4" s="30">
        <v>2</v>
      </c>
      <c r="B4" s="1" t="s">
        <v>1713</v>
      </c>
      <c r="C4" s="28" t="s">
        <v>2233</v>
      </c>
      <c r="D4" s="1" t="s">
        <v>1694</v>
      </c>
      <c r="E4" s="1" t="s">
        <v>2242</v>
      </c>
      <c r="F4" s="168">
        <v>100</v>
      </c>
      <c r="G4" s="168">
        <v>35</v>
      </c>
      <c r="H4" s="168">
        <v>15</v>
      </c>
      <c r="I4" s="168">
        <v>5</v>
      </c>
      <c r="J4" s="168"/>
      <c r="K4" s="168">
        <v>3</v>
      </c>
      <c r="L4" s="168"/>
      <c r="M4" s="1"/>
    </row>
    <row r="5" spans="1:13">
      <c r="A5" s="30">
        <v>3</v>
      </c>
      <c r="B5" s="1" t="s">
        <v>1714</v>
      </c>
      <c r="C5" s="28" t="s">
        <v>2233</v>
      </c>
      <c r="D5" s="1" t="s">
        <v>1694</v>
      </c>
      <c r="E5" s="1" t="s">
        <v>2243</v>
      </c>
      <c r="F5" s="168">
        <v>125</v>
      </c>
      <c r="G5" s="168">
        <v>35</v>
      </c>
      <c r="H5" s="168">
        <v>15</v>
      </c>
      <c r="I5" s="168">
        <v>8</v>
      </c>
      <c r="J5" s="168"/>
      <c r="K5" s="168">
        <v>3</v>
      </c>
      <c r="L5" s="168"/>
      <c r="M5" s="1"/>
    </row>
    <row r="6" spans="1:13">
      <c r="A6" s="30">
        <v>4</v>
      </c>
      <c r="B6" s="1" t="s">
        <v>1715</v>
      </c>
      <c r="C6" s="28" t="s">
        <v>2233</v>
      </c>
      <c r="D6" s="1" t="s">
        <v>1694</v>
      </c>
      <c r="E6" s="1" t="s">
        <v>2244</v>
      </c>
      <c r="F6" s="168">
        <v>150</v>
      </c>
      <c r="G6" s="168">
        <v>35</v>
      </c>
      <c r="H6" s="168">
        <v>15</v>
      </c>
      <c r="I6" s="168">
        <v>6</v>
      </c>
      <c r="J6" s="168"/>
      <c r="K6" s="168">
        <v>3</v>
      </c>
      <c r="L6" s="168"/>
      <c r="M6" s="1"/>
    </row>
    <row r="7" spans="1:13">
      <c r="A7" s="30">
        <v>5</v>
      </c>
      <c r="B7" s="1" t="s">
        <v>1716</v>
      </c>
      <c r="C7" s="28" t="s">
        <v>2233</v>
      </c>
      <c r="D7" s="1" t="s">
        <v>1694</v>
      </c>
      <c r="E7" s="1" t="s">
        <v>2245</v>
      </c>
      <c r="F7" s="168">
        <v>75</v>
      </c>
      <c r="G7" s="168">
        <v>35</v>
      </c>
      <c r="H7" s="168">
        <v>15</v>
      </c>
      <c r="I7" s="168">
        <v>10</v>
      </c>
      <c r="J7" s="168"/>
      <c r="K7" s="168">
        <v>3</v>
      </c>
      <c r="L7" s="168"/>
      <c r="M7" s="1"/>
    </row>
    <row r="8" spans="1:13">
      <c r="A8" s="30">
        <v>6</v>
      </c>
      <c r="B8" s="1" t="s">
        <v>1717</v>
      </c>
      <c r="C8" s="28" t="s">
        <v>2233</v>
      </c>
      <c r="D8" s="1" t="s">
        <v>1694</v>
      </c>
      <c r="E8" s="1" t="s">
        <v>2246</v>
      </c>
      <c r="F8" s="168">
        <v>100</v>
      </c>
      <c r="G8" s="168">
        <v>10</v>
      </c>
      <c r="H8" s="168">
        <v>8</v>
      </c>
      <c r="I8" s="168">
        <v>42</v>
      </c>
      <c r="J8" s="168"/>
      <c r="K8" s="168">
        <v>3</v>
      </c>
      <c r="L8" s="168"/>
      <c r="M8" s="1"/>
    </row>
    <row r="9" spans="1:13">
      <c r="A9" s="30">
        <v>7</v>
      </c>
      <c r="B9" s="1" t="s">
        <v>1718</v>
      </c>
      <c r="C9" s="28" t="s">
        <v>2233</v>
      </c>
      <c r="D9" s="1" t="s">
        <v>1694</v>
      </c>
      <c r="E9" s="1" t="s">
        <v>2247</v>
      </c>
      <c r="F9" s="168">
        <v>100</v>
      </c>
      <c r="G9" s="168">
        <v>12</v>
      </c>
      <c r="H9" s="168">
        <v>12</v>
      </c>
      <c r="I9" s="168">
        <v>32</v>
      </c>
      <c r="J9" s="168"/>
      <c r="K9" s="168">
        <v>3</v>
      </c>
      <c r="L9" s="168"/>
      <c r="M9" s="1"/>
    </row>
    <row r="10" spans="1:13">
      <c r="A10" s="30">
        <v>8</v>
      </c>
      <c r="B10" s="1" t="s">
        <v>1719</v>
      </c>
      <c r="C10" s="28" t="s">
        <v>2233</v>
      </c>
      <c r="D10" s="1" t="s">
        <v>1694</v>
      </c>
      <c r="E10" s="1" t="s">
        <v>2248</v>
      </c>
      <c r="F10" s="168">
        <v>100</v>
      </c>
      <c r="G10" s="168">
        <v>15</v>
      </c>
      <c r="H10" s="168">
        <v>8</v>
      </c>
      <c r="I10" s="168">
        <v>12</v>
      </c>
      <c r="J10" s="168"/>
      <c r="K10" s="168">
        <v>3</v>
      </c>
      <c r="L10" s="168"/>
      <c r="M10" s="1"/>
    </row>
    <row r="11" spans="1:13">
      <c r="A11" s="30">
        <v>9</v>
      </c>
      <c r="B11" s="1" t="s">
        <v>1720</v>
      </c>
      <c r="C11" s="28" t="s">
        <v>2233</v>
      </c>
      <c r="D11" s="1" t="s">
        <v>29</v>
      </c>
      <c r="E11" s="1" t="s">
        <v>2249</v>
      </c>
      <c r="F11" s="168">
        <v>100</v>
      </c>
      <c r="G11" s="168">
        <v>20</v>
      </c>
      <c r="H11" s="168">
        <v>8</v>
      </c>
      <c r="I11" s="168">
        <v>20</v>
      </c>
      <c r="J11" s="168"/>
      <c r="K11" s="168">
        <v>3</v>
      </c>
      <c r="L11" s="168"/>
      <c r="M11" s="1"/>
    </row>
    <row r="12" spans="1:13">
      <c r="A12" s="30">
        <v>10</v>
      </c>
      <c r="B12" s="1" t="s">
        <v>1721</v>
      </c>
      <c r="C12" s="28" t="s">
        <v>2233</v>
      </c>
      <c r="D12" s="1" t="s">
        <v>1694</v>
      </c>
      <c r="E12" s="1" t="s">
        <v>2250</v>
      </c>
      <c r="F12" s="168">
        <v>100</v>
      </c>
      <c r="G12" s="168">
        <v>35</v>
      </c>
      <c r="H12" s="168">
        <v>15</v>
      </c>
      <c r="I12" s="168">
        <v>10</v>
      </c>
      <c r="J12" s="168"/>
      <c r="K12" s="168">
        <v>3</v>
      </c>
      <c r="L12" s="168"/>
      <c r="M12" s="1"/>
    </row>
    <row r="13" spans="1:13">
      <c r="A13" s="30">
        <v>11</v>
      </c>
      <c r="B13" s="1" t="s">
        <v>1722</v>
      </c>
      <c r="C13" s="28" t="s">
        <v>2233</v>
      </c>
      <c r="D13" s="1" t="s">
        <v>1694</v>
      </c>
      <c r="E13" s="1" t="s">
        <v>2251</v>
      </c>
      <c r="F13" s="168">
        <v>100</v>
      </c>
      <c r="G13" s="168">
        <v>35</v>
      </c>
      <c r="H13" s="168">
        <v>15</v>
      </c>
      <c r="I13" s="168">
        <v>5</v>
      </c>
      <c r="J13" s="168"/>
      <c r="K13" s="168">
        <v>3</v>
      </c>
      <c r="L13" s="168"/>
      <c r="M13" s="1"/>
    </row>
    <row r="14" spans="1:13">
      <c r="A14" s="30">
        <v>12</v>
      </c>
      <c r="B14" s="1" t="s">
        <v>1723</v>
      </c>
      <c r="C14" s="28" t="s">
        <v>2233</v>
      </c>
      <c r="D14" s="1" t="s">
        <v>1694</v>
      </c>
      <c r="E14" s="1" t="s">
        <v>2252</v>
      </c>
      <c r="F14" s="168">
        <v>100</v>
      </c>
      <c r="G14" s="168">
        <v>35</v>
      </c>
      <c r="H14" s="168">
        <v>15</v>
      </c>
      <c r="I14" s="168">
        <v>8</v>
      </c>
      <c r="J14" s="168"/>
      <c r="K14" s="168">
        <v>3</v>
      </c>
      <c r="L14" s="168"/>
      <c r="M14" s="1"/>
    </row>
    <row r="15" spans="1:13">
      <c r="A15" s="30">
        <v>13</v>
      </c>
      <c r="B15" s="1" t="s">
        <v>1724</v>
      </c>
      <c r="C15" s="28" t="s">
        <v>2233</v>
      </c>
      <c r="D15" s="1" t="s">
        <v>1694</v>
      </c>
      <c r="E15" s="1" t="s">
        <v>2253</v>
      </c>
      <c r="F15" s="168">
        <v>120</v>
      </c>
      <c r="G15" s="168">
        <v>35</v>
      </c>
      <c r="H15" s="168">
        <v>15</v>
      </c>
      <c r="I15" s="168">
        <v>8</v>
      </c>
      <c r="J15" s="168"/>
      <c r="K15" s="168">
        <v>3</v>
      </c>
      <c r="L15" s="168"/>
      <c r="M15" s="1"/>
    </row>
    <row r="16" spans="1:13">
      <c r="A16" s="30">
        <v>14</v>
      </c>
      <c r="B16" s="1" t="s">
        <v>1725</v>
      </c>
      <c r="C16" s="28" t="s">
        <v>2233</v>
      </c>
      <c r="D16" s="1" t="s">
        <v>1694</v>
      </c>
      <c r="E16" s="1" t="s">
        <v>2254</v>
      </c>
      <c r="F16" s="168">
        <v>125</v>
      </c>
      <c r="G16" s="168">
        <v>35</v>
      </c>
      <c r="H16" s="168">
        <v>15</v>
      </c>
      <c r="I16" s="168">
        <v>5</v>
      </c>
      <c r="J16" s="168"/>
      <c r="K16" s="168">
        <v>3</v>
      </c>
      <c r="L16" s="168"/>
      <c r="M16" s="1"/>
    </row>
    <row r="17" spans="1:13">
      <c r="A17" s="30">
        <v>15</v>
      </c>
      <c r="B17" s="1" t="s">
        <v>1726</v>
      </c>
      <c r="C17" s="28" t="s">
        <v>2233</v>
      </c>
      <c r="D17" s="1" t="s">
        <v>1694</v>
      </c>
      <c r="E17" s="1" t="s">
        <v>2255</v>
      </c>
      <c r="F17" s="168">
        <v>125</v>
      </c>
      <c r="G17" s="168">
        <v>35</v>
      </c>
      <c r="H17" s="168">
        <v>15</v>
      </c>
      <c r="I17" s="168">
        <v>6</v>
      </c>
      <c r="J17" s="168"/>
      <c r="K17" s="168">
        <v>3</v>
      </c>
      <c r="L17" s="168"/>
      <c r="M17" s="1"/>
    </row>
    <row r="18" spans="1:13">
      <c r="A18" s="30">
        <v>16</v>
      </c>
      <c r="B18" s="1" t="s">
        <v>1727</v>
      </c>
      <c r="C18" s="28" t="s">
        <v>2233</v>
      </c>
      <c r="D18" s="1" t="s">
        <v>1694</v>
      </c>
      <c r="E18" s="1" t="s">
        <v>2256</v>
      </c>
      <c r="F18" s="168">
        <v>150</v>
      </c>
      <c r="G18" s="168">
        <v>12</v>
      </c>
      <c r="H18" s="168">
        <v>12</v>
      </c>
      <c r="I18" s="168">
        <v>24</v>
      </c>
      <c r="J18" s="168"/>
      <c r="K18" s="168">
        <v>3</v>
      </c>
      <c r="L18" s="168"/>
      <c r="M18" s="1"/>
    </row>
    <row r="19" spans="1:13">
      <c r="A19" s="30">
        <v>17</v>
      </c>
      <c r="B19" s="1" t="s">
        <v>1728</v>
      </c>
      <c r="C19" s="28" t="s">
        <v>2233</v>
      </c>
      <c r="D19" s="1" t="s">
        <v>1694</v>
      </c>
      <c r="E19" s="1" t="s">
        <v>2257</v>
      </c>
      <c r="F19" s="168">
        <v>150</v>
      </c>
      <c r="G19" s="168">
        <v>35</v>
      </c>
      <c r="H19" s="168">
        <v>15</v>
      </c>
      <c r="I19" s="168">
        <v>5</v>
      </c>
      <c r="J19" s="168"/>
      <c r="K19" s="168">
        <v>3</v>
      </c>
      <c r="L19" s="168"/>
      <c r="M19" s="1"/>
    </row>
    <row r="20" spans="1:13">
      <c r="A20" s="30">
        <v>18</v>
      </c>
      <c r="B20" s="1" t="s">
        <v>1729</v>
      </c>
      <c r="C20" s="28" t="s">
        <v>2233</v>
      </c>
      <c r="D20" s="1" t="s">
        <v>1694</v>
      </c>
      <c r="E20" s="1" t="s">
        <v>2258</v>
      </c>
      <c r="F20" s="168">
        <v>150</v>
      </c>
      <c r="G20" s="168">
        <v>35</v>
      </c>
      <c r="H20" s="168">
        <v>15</v>
      </c>
      <c r="I20" s="168">
        <v>6</v>
      </c>
      <c r="J20" s="168"/>
      <c r="K20" s="168">
        <v>3</v>
      </c>
      <c r="L20" s="168"/>
      <c r="M20" s="1"/>
    </row>
    <row r="21" spans="1:13">
      <c r="A21" s="30">
        <v>19</v>
      </c>
      <c r="B21" s="1" t="s">
        <v>1730</v>
      </c>
      <c r="C21" s="28" t="s">
        <v>2233</v>
      </c>
      <c r="D21" s="1" t="s">
        <v>1694</v>
      </c>
      <c r="E21" s="1" t="s">
        <v>2259</v>
      </c>
      <c r="F21" s="168">
        <v>20</v>
      </c>
      <c r="G21" s="168">
        <v>35</v>
      </c>
      <c r="H21" s="168">
        <v>15</v>
      </c>
      <c r="I21" s="168">
        <v>40</v>
      </c>
      <c r="J21" s="168"/>
      <c r="K21" s="168">
        <v>3</v>
      </c>
      <c r="L21" s="168"/>
      <c r="M21" s="1"/>
    </row>
    <row r="22" spans="1:13">
      <c r="A22" s="30">
        <v>20</v>
      </c>
      <c r="B22" s="1" t="s">
        <v>1731</v>
      </c>
      <c r="C22" s="28" t="s">
        <v>2233</v>
      </c>
      <c r="D22" s="1" t="s">
        <v>1694</v>
      </c>
      <c r="E22" s="1" t="s">
        <v>2260</v>
      </c>
      <c r="F22" s="168">
        <v>30</v>
      </c>
      <c r="G22" s="168">
        <v>12</v>
      </c>
      <c r="H22" s="168">
        <v>12</v>
      </c>
      <c r="I22" s="168">
        <v>120</v>
      </c>
      <c r="J22" s="168"/>
      <c r="K22" s="168">
        <v>3</v>
      </c>
      <c r="L22" s="168"/>
      <c r="M22" s="1"/>
    </row>
    <row r="23" spans="1:13">
      <c r="A23" s="30">
        <v>21</v>
      </c>
      <c r="B23" s="1" t="s">
        <v>1732</v>
      </c>
      <c r="C23" s="28" t="s">
        <v>2233</v>
      </c>
      <c r="D23" s="1" t="s">
        <v>1694</v>
      </c>
      <c r="E23" s="1" t="s">
        <v>2261</v>
      </c>
      <c r="F23" s="168">
        <v>40</v>
      </c>
      <c r="G23" s="168">
        <v>18</v>
      </c>
      <c r="H23" s="168">
        <v>15</v>
      </c>
      <c r="I23" s="168">
        <v>40</v>
      </c>
      <c r="J23" s="168"/>
      <c r="K23" s="168">
        <v>3</v>
      </c>
      <c r="L23" s="168"/>
      <c r="M23" s="1"/>
    </row>
    <row r="24" spans="1:13">
      <c r="A24" s="30">
        <v>22</v>
      </c>
      <c r="B24" s="1" t="s">
        <v>1733</v>
      </c>
      <c r="C24" s="28" t="s">
        <v>2233</v>
      </c>
      <c r="D24" s="1" t="s">
        <v>1694</v>
      </c>
      <c r="E24" s="1" t="s">
        <v>2262</v>
      </c>
      <c r="F24" s="168">
        <v>50</v>
      </c>
      <c r="G24" s="168">
        <v>12</v>
      </c>
      <c r="H24" s="168">
        <v>12</v>
      </c>
      <c r="I24" s="168">
        <v>64</v>
      </c>
      <c r="J24" s="168"/>
      <c r="K24" s="168">
        <v>3</v>
      </c>
      <c r="L24" s="168"/>
      <c r="M24" s="1"/>
    </row>
    <row r="25" spans="1:13">
      <c r="A25" s="30">
        <v>23</v>
      </c>
      <c r="B25" s="1" t="s">
        <v>1734</v>
      </c>
      <c r="C25" s="28" t="s">
        <v>2233</v>
      </c>
      <c r="D25" s="1" t="s">
        <v>1694</v>
      </c>
      <c r="E25" s="1" t="s">
        <v>2263</v>
      </c>
      <c r="F25" s="168">
        <v>50</v>
      </c>
      <c r="G25" s="168">
        <v>35</v>
      </c>
      <c r="H25" s="168">
        <v>15</v>
      </c>
      <c r="I25" s="168">
        <v>10</v>
      </c>
      <c r="J25" s="168"/>
      <c r="K25" s="168">
        <v>3</v>
      </c>
      <c r="L25" s="168"/>
      <c r="M25" s="1"/>
    </row>
    <row r="26" spans="1:13">
      <c r="A26" s="30">
        <v>24</v>
      </c>
      <c r="B26" s="1" t="s">
        <v>1735</v>
      </c>
      <c r="C26" s="28" t="s">
        <v>2233</v>
      </c>
      <c r="D26" s="1" t="s">
        <v>1694</v>
      </c>
      <c r="E26" s="1" t="s">
        <v>2264</v>
      </c>
      <c r="F26" s="168">
        <v>75</v>
      </c>
      <c r="G26" s="168">
        <v>12</v>
      </c>
      <c r="H26" s="168">
        <v>12</v>
      </c>
      <c r="I26" s="168">
        <v>45</v>
      </c>
      <c r="J26" s="168"/>
      <c r="K26" s="168">
        <v>3</v>
      </c>
      <c r="L26" s="168"/>
      <c r="M26" s="1"/>
    </row>
    <row r="27" spans="1:13">
      <c r="A27" s="30">
        <v>25</v>
      </c>
      <c r="B27" s="1" t="s">
        <v>1736</v>
      </c>
      <c r="C27" s="28" t="s">
        <v>2233</v>
      </c>
      <c r="D27" s="1" t="s">
        <v>1694</v>
      </c>
      <c r="E27" s="1" t="s">
        <v>2265</v>
      </c>
      <c r="F27" s="168">
        <v>75</v>
      </c>
      <c r="G27" s="168">
        <v>35</v>
      </c>
      <c r="H27" s="168">
        <v>15</v>
      </c>
      <c r="I27" s="168">
        <v>10</v>
      </c>
      <c r="J27" s="168"/>
      <c r="K27" s="168">
        <v>3</v>
      </c>
      <c r="L27" s="168"/>
      <c r="M27" s="1"/>
    </row>
    <row r="28" spans="1:13">
      <c r="A28" s="30">
        <v>26</v>
      </c>
      <c r="B28" s="1" t="s">
        <v>1737</v>
      </c>
      <c r="C28" s="28" t="s">
        <v>2233</v>
      </c>
      <c r="D28" s="1" t="s">
        <v>1694</v>
      </c>
      <c r="E28" s="1" t="s">
        <v>2266</v>
      </c>
      <c r="F28" s="168">
        <v>80</v>
      </c>
      <c r="G28" s="168">
        <v>35</v>
      </c>
      <c r="H28" s="168">
        <v>15</v>
      </c>
      <c r="I28" s="168">
        <v>10</v>
      </c>
      <c r="J28" s="168"/>
      <c r="K28" s="168">
        <v>3</v>
      </c>
      <c r="L28" s="168"/>
      <c r="M28" s="1"/>
    </row>
    <row r="29" spans="1:13">
      <c r="A29" s="30">
        <v>27</v>
      </c>
      <c r="B29" s="1" t="s">
        <v>1738</v>
      </c>
      <c r="C29" s="28" t="s">
        <v>2233</v>
      </c>
      <c r="D29" s="1" t="s">
        <v>1695</v>
      </c>
      <c r="E29" s="1" t="s">
        <v>2267</v>
      </c>
      <c r="F29" s="168">
        <v>30</v>
      </c>
      <c r="G29" s="168">
        <v>15</v>
      </c>
      <c r="H29" s="168">
        <v>10</v>
      </c>
      <c r="I29" s="168">
        <v>126</v>
      </c>
      <c r="J29" s="168"/>
      <c r="K29" s="168">
        <v>3</v>
      </c>
      <c r="L29" s="168"/>
      <c r="M29" s="1"/>
    </row>
    <row r="30" spans="1:13">
      <c r="A30" s="30">
        <v>28</v>
      </c>
      <c r="B30" s="1" t="s">
        <v>1739</v>
      </c>
      <c r="C30" s="28" t="s">
        <v>2233</v>
      </c>
      <c r="D30" s="1" t="s">
        <v>1696</v>
      </c>
      <c r="E30" s="1" t="s">
        <v>2268</v>
      </c>
      <c r="F30" s="168">
        <v>20</v>
      </c>
      <c r="G30" s="168">
        <v>10</v>
      </c>
      <c r="H30" s="168">
        <v>5</v>
      </c>
      <c r="I30" s="168">
        <v>400</v>
      </c>
      <c r="J30" s="168"/>
      <c r="K30" s="168">
        <v>3</v>
      </c>
      <c r="L30" s="168"/>
      <c r="M30" s="1"/>
    </row>
    <row r="31" spans="1:13">
      <c r="A31" s="30">
        <v>29</v>
      </c>
      <c r="B31" s="1" t="s">
        <v>1740</v>
      </c>
      <c r="C31" s="28" t="s">
        <v>2233</v>
      </c>
      <c r="D31" s="1" t="s">
        <v>1696</v>
      </c>
      <c r="E31" s="1" t="s">
        <v>2269</v>
      </c>
      <c r="F31" s="168">
        <v>10</v>
      </c>
      <c r="G31" s="168">
        <v>10</v>
      </c>
      <c r="H31" s="168">
        <v>6</v>
      </c>
      <c r="I31" s="168">
        <v>900</v>
      </c>
      <c r="J31" s="168"/>
      <c r="K31" s="168">
        <v>3</v>
      </c>
      <c r="L31" s="168"/>
      <c r="M31" s="1"/>
    </row>
    <row r="32" spans="1:13">
      <c r="A32" s="30">
        <v>30</v>
      </c>
      <c r="B32" s="1" t="s">
        <v>1741</v>
      </c>
      <c r="C32" s="28" t="s">
        <v>2233</v>
      </c>
      <c r="D32" s="1" t="s">
        <v>1696</v>
      </c>
      <c r="E32" s="1" t="s">
        <v>2270</v>
      </c>
      <c r="F32" s="168">
        <v>10</v>
      </c>
      <c r="G32" s="168">
        <v>10</v>
      </c>
      <c r="H32" s="168">
        <v>8</v>
      </c>
      <c r="I32" s="168">
        <v>700</v>
      </c>
      <c r="J32" s="168"/>
      <c r="K32" s="168">
        <v>3</v>
      </c>
      <c r="L32" s="168"/>
      <c r="M32" s="1"/>
    </row>
    <row r="33" spans="1:13">
      <c r="A33" s="30">
        <v>31</v>
      </c>
      <c r="B33" s="1" t="s">
        <v>1742</v>
      </c>
      <c r="C33" s="28" t="s">
        <v>2233</v>
      </c>
      <c r="D33" s="1" t="s">
        <v>1696</v>
      </c>
      <c r="E33" s="1" t="s">
        <v>2271</v>
      </c>
      <c r="F33" s="168">
        <v>15</v>
      </c>
      <c r="G33" s="168">
        <v>15</v>
      </c>
      <c r="H33" s="168">
        <v>15</v>
      </c>
      <c r="I33" s="168">
        <v>144</v>
      </c>
      <c r="J33" s="168"/>
      <c r="K33" s="168">
        <v>3</v>
      </c>
      <c r="L33" s="168"/>
      <c r="M33" s="1"/>
    </row>
    <row r="34" spans="1:13">
      <c r="A34" s="30">
        <v>32</v>
      </c>
      <c r="B34" s="1" t="s">
        <v>1743</v>
      </c>
      <c r="C34" s="28" t="s">
        <v>2233</v>
      </c>
      <c r="D34" s="1" t="s">
        <v>1696</v>
      </c>
      <c r="E34" s="1" t="s">
        <v>2272</v>
      </c>
      <c r="F34" s="168">
        <v>16</v>
      </c>
      <c r="G34" s="168">
        <v>16</v>
      </c>
      <c r="H34" s="168">
        <v>14</v>
      </c>
      <c r="I34" s="168">
        <v>144</v>
      </c>
      <c r="J34" s="168"/>
      <c r="K34" s="168">
        <v>3</v>
      </c>
      <c r="L34" s="168"/>
      <c r="M34" s="1"/>
    </row>
    <row r="35" spans="1:13">
      <c r="A35" s="30">
        <v>33</v>
      </c>
      <c r="B35" s="1" t="s">
        <v>1744</v>
      </c>
      <c r="C35" s="28" t="s">
        <v>2233</v>
      </c>
      <c r="D35" s="1" t="s">
        <v>1697</v>
      </c>
      <c r="E35" s="1" t="s">
        <v>2273</v>
      </c>
      <c r="F35" s="168">
        <v>5</v>
      </c>
      <c r="G35" s="168">
        <v>5</v>
      </c>
      <c r="H35" s="168">
        <v>5</v>
      </c>
      <c r="I35" s="168">
        <v>4000</v>
      </c>
      <c r="J35" s="168"/>
      <c r="K35" s="168">
        <v>3</v>
      </c>
      <c r="L35" s="168"/>
      <c r="M35" s="1"/>
    </row>
    <row r="36" spans="1:13">
      <c r="A36" s="30">
        <v>34</v>
      </c>
      <c r="B36" s="1" t="s">
        <v>1745</v>
      </c>
      <c r="C36" s="28" t="s">
        <v>2233</v>
      </c>
      <c r="D36" s="1" t="s">
        <v>1696</v>
      </c>
      <c r="E36" s="1" t="s">
        <v>2274</v>
      </c>
      <c r="F36" s="168">
        <v>9</v>
      </c>
      <c r="G36" s="168">
        <v>9</v>
      </c>
      <c r="H36" s="168">
        <v>8</v>
      </c>
      <c r="I36" s="168">
        <v>726</v>
      </c>
      <c r="J36" s="168"/>
      <c r="K36" s="168">
        <v>3</v>
      </c>
      <c r="L36" s="168"/>
      <c r="M36" s="1"/>
    </row>
    <row r="37" spans="1:13">
      <c r="A37" s="30">
        <v>35</v>
      </c>
      <c r="B37" s="1" t="s">
        <v>1746</v>
      </c>
      <c r="C37" s="28" t="s">
        <v>2233</v>
      </c>
      <c r="D37" s="1" t="s">
        <v>1696</v>
      </c>
      <c r="E37" s="1" t="s">
        <v>2275</v>
      </c>
      <c r="F37" s="168">
        <v>10</v>
      </c>
      <c r="G37" s="168">
        <v>10</v>
      </c>
      <c r="H37" s="168">
        <v>8</v>
      </c>
      <c r="I37" s="168">
        <v>700</v>
      </c>
      <c r="J37" s="168"/>
      <c r="K37" s="168">
        <v>3</v>
      </c>
      <c r="L37" s="168"/>
      <c r="M37" s="1"/>
    </row>
    <row r="38" spans="1:13">
      <c r="A38" s="30">
        <v>36</v>
      </c>
      <c r="B38" s="1" t="s">
        <v>1747</v>
      </c>
      <c r="C38" s="28" t="s">
        <v>2233</v>
      </c>
      <c r="D38" s="1" t="s">
        <v>1696</v>
      </c>
      <c r="E38" s="1" t="s">
        <v>2276</v>
      </c>
      <c r="F38" s="168">
        <v>14</v>
      </c>
      <c r="G38" s="168">
        <v>14</v>
      </c>
      <c r="H38" s="168">
        <v>8</v>
      </c>
      <c r="I38" s="168">
        <v>7700</v>
      </c>
      <c r="J38" s="168"/>
      <c r="K38" s="168">
        <v>3</v>
      </c>
      <c r="L38" s="168"/>
      <c r="M38" s="1"/>
    </row>
    <row r="39" spans="1:13">
      <c r="A39" s="30">
        <v>37</v>
      </c>
      <c r="B39" s="1" t="s">
        <v>1748</v>
      </c>
      <c r="C39" s="28" t="s">
        <v>2233</v>
      </c>
      <c r="D39" s="1" t="s">
        <v>1696</v>
      </c>
      <c r="E39" s="1" t="s">
        <v>2277</v>
      </c>
      <c r="F39" s="168">
        <v>14</v>
      </c>
      <c r="G39" s="168">
        <v>14</v>
      </c>
      <c r="H39" s="168">
        <v>9</v>
      </c>
      <c r="I39" s="168">
        <v>343</v>
      </c>
      <c r="J39" s="168"/>
      <c r="K39" s="168">
        <v>3</v>
      </c>
      <c r="L39" s="168"/>
      <c r="M39" s="1"/>
    </row>
    <row r="40" spans="1:13">
      <c r="A40" s="30">
        <v>38</v>
      </c>
      <c r="B40" s="1" t="s">
        <v>1749</v>
      </c>
      <c r="C40" s="28" t="s">
        <v>2233</v>
      </c>
      <c r="D40" s="1" t="s">
        <v>1696</v>
      </c>
      <c r="E40" s="1" t="s">
        <v>2278</v>
      </c>
      <c r="F40" s="168">
        <v>20</v>
      </c>
      <c r="G40" s="168">
        <v>10</v>
      </c>
      <c r="H40" s="168">
        <v>8.5</v>
      </c>
      <c r="I40" s="168">
        <v>350</v>
      </c>
      <c r="J40" s="168"/>
      <c r="K40" s="168">
        <v>3</v>
      </c>
      <c r="L40" s="168"/>
      <c r="M40" s="1"/>
    </row>
    <row r="41" spans="1:13">
      <c r="A41" s="30">
        <v>39</v>
      </c>
      <c r="B41" s="1" t="s">
        <v>1750</v>
      </c>
      <c r="C41" s="28" t="s">
        <v>2233</v>
      </c>
      <c r="D41" s="1" t="s">
        <v>1696</v>
      </c>
      <c r="E41" s="1" t="s">
        <v>2279</v>
      </c>
      <c r="F41" s="168">
        <v>20</v>
      </c>
      <c r="G41" s="168">
        <v>10</v>
      </c>
      <c r="H41" s="168">
        <v>9</v>
      </c>
      <c r="I41" s="168">
        <v>300</v>
      </c>
      <c r="J41" s="168"/>
      <c r="K41" s="168">
        <v>3</v>
      </c>
      <c r="L41" s="168"/>
      <c r="M41" s="1"/>
    </row>
    <row r="42" spans="1:13">
      <c r="A42" s="30">
        <v>40</v>
      </c>
      <c r="B42" s="1" t="s">
        <v>1751</v>
      </c>
      <c r="C42" s="28" t="s">
        <v>2233</v>
      </c>
      <c r="D42" s="1" t="s">
        <v>1696</v>
      </c>
      <c r="E42" s="1" t="s">
        <v>2280</v>
      </c>
      <c r="F42" s="168">
        <v>40</v>
      </c>
      <c r="G42" s="168">
        <v>18</v>
      </c>
      <c r="H42" s="168">
        <v>15</v>
      </c>
      <c r="I42" s="168">
        <v>40</v>
      </c>
      <c r="J42" s="168"/>
      <c r="K42" s="168">
        <v>3</v>
      </c>
      <c r="L42" s="168"/>
      <c r="M42" s="1"/>
    </row>
    <row r="43" spans="1:13">
      <c r="A43" s="30">
        <v>41</v>
      </c>
      <c r="B43" s="1" t="s">
        <v>1752</v>
      </c>
      <c r="C43" s="28" t="s">
        <v>2233</v>
      </c>
      <c r="D43" s="1" t="s">
        <v>1696</v>
      </c>
      <c r="E43" s="1" t="s">
        <v>2281</v>
      </c>
      <c r="F43" s="168">
        <v>9</v>
      </c>
      <c r="G43" s="168">
        <v>9</v>
      </c>
      <c r="H43" s="168">
        <v>7</v>
      </c>
      <c r="I43" s="168">
        <v>968</v>
      </c>
      <c r="J43" s="168"/>
      <c r="K43" s="168">
        <v>3</v>
      </c>
      <c r="L43" s="168"/>
      <c r="M43" s="1"/>
    </row>
    <row r="44" spans="1:13">
      <c r="A44" s="30">
        <v>42</v>
      </c>
      <c r="B44" s="1" t="s">
        <v>1753</v>
      </c>
      <c r="C44" s="28" t="s">
        <v>2233</v>
      </c>
      <c r="D44" s="1" t="s">
        <v>29</v>
      </c>
      <c r="E44" s="1" t="s">
        <v>2282</v>
      </c>
      <c r="F44" s="168">
        <v>100</v>
      </c>
      <c r="G44" s="168">
        <v>20</v>
      </c>
      <c r="H44" s="168">
        <v>10</v>
      </c>
      <c r="I44" s="168">
        <v>20</v>
      </c>
      <c r="J44" s="168"/>
      <c r="K44" s="168">
        <v>3</v>
      </c>
      <c r="L44" s="168"/>
      <c r="M44" s="1"/>
    </row>
    <row r="45" spans="1:13">
      <c r="A45" s="30">
        <v>43</v>
      </c>
      <c r="B45" s="1" t="s">
        <v>1754</v>
      </c>
      <c r="C45" s="28" t="s">
        <v>2233</v>
      </c>
      <c r="D45" s="1" t="s">
        <v>29</v>
      </c>
      <c r="E45" s="1" t="s">
        <v>2283</v>
      </c>
      <c r="F45" s="168">
        <v>100</v>
      </c>
      <c r="G45" s="168">
        <v>20</v>
      </c>
      <c r="H45" s="168">
        <v>6</v>
      </c>
      <c r="I45" s="168">
        <v>30</v>
      </c>
      <c r="J45" s="168"/>
      <c r="K45" s="168">
        <v>3</v>
      </c>
      <c r="L45" s="168"/>
      <c r="M45" s="1"/>
    </row>
    <row r="46" spans="1:13">
      <c r="A46" s="30">
        <v>44</v>
      </c>
      <c r="B46" s="1" t="s">
        <v>1755</v>
      </c>
      <c r="C46" s="28" t="s">
        <v>2233</v>
      </c>
      <c r="D46" s="1" t="s">
        <v>29</v>
      </c>
      <c r="E46" s="1" t="s">
        <v>2284</v>
      </c>
      <c r="F46" s="168">
        <v>100</v>
      </c>
      <c r="G46" s="168">
        <v>25</v>
      </c>
      <c r="H46" s="168">
        <v>10</v>
      </c>
      <c r="I46" s="168">
        <v>18</v>
      </c>
      <c r="J46" s="168"/>
      <c r="K46" s="168">
        <v>3</v>
      </c>
      <c r="L46" s="168"/>
      <c r="M46" s="1"/>
    </row>
    <row r="47" spans="1:13">
      <c r="A47" s="30">
        <v>45</v>
      </c>
      <c r="B47" s="1" t="s">
        <v>1756</v>
      </c>
      <c r="C47" s="28" t="s">
        <v>2233</v>
      </c>
      <c r="D47" s="1" t="s">
        <v>29</v>
      </c>
      <c r="E47" s="1" t="s">
        <v>2285</v>
      </c>
      <c r="F47" s="168">
        <v>100</v>
      </c>
      <c r="G47" s="168">
        <v>25</v>
      </c>
      <c r="H47" s="168">
        <v>6</v>
      </c>
      <c r="I47" s="168">
        <v>30</v>
      </c>
      <c r="J47" s="168"/>
      <c r="K47" s="168">
        <v>3</v>
      </c>
      <c r="L47" s="168"/>
      <c r="M47" s="1"/>
    </row>
    <row r="48" spans="1:13">
      <c r="A48" s="30">
        <v>46</v>
      </c>
      <c r="B48" s="1" t="s">
        <v>1757</v>
      </c>
      <c r="C48" s="28" t="s">
        <v>2233</v>
      </c>
      <c r="D48" s="1" t="s">
        <v>29</v>
      </c>
      <c r="E48" s="1" t="s">
        <v>2286</v>
      </c>
      <c r="F48" s="168">
        <v>100</v>
      </c>
      <c r="G48" s="168">
        <v>25</v>
      </c>
      <c r="H48" s="168">
        <v>7</v>
      </c>
      <c r="I48" s="168">
        <v>26</v>
      </c>
      <c r="J48" s="168"/>
      <c r="K48" s="168">
        <v>3</v>
      </c>
      <c r="L48" s="168"/>
      <c r="M48" s="1"/>
    </row>
    <row r="49" spans="1:13">
      <c r="A49" s="30">
        <v>47</v>
      </c>
      <c r="B49" s="1" t="s">
        <v>1758</v>
      </c>
      <c r="C49" s="28" t="s">
        <v>2233</v>
      </c>
      <c r="D49" s="1" t="s">
        <v>29</v>
      </c>
      <c r="E49" s="1" t="s">
        <v>2287</v>
      </c>
      <c r="F49" s="168">
        <v>100</v>
      </c>
      <c r="G49" s="168">
        <v>25</v>
      </c>
      <c r="H49" s="168">
        <v>8</v>
      </c>
      <c r="I49" s="168">
        <v>20</v>
      </c>
      <c r="J49" s="168"/>
      <c r="K49" s="168">
        <v>3</v>
      </c>
      <c r="L49" s="168"/>
      <c r="M49" s="1"/>
    </row>
    <row r="50" spans="1:13">
      <c r="A50" s="30">
        <v>48</v>
      </c>
      <c r="B50" s="1" t="s">
        <v>2755</v>
      </c>
      <c r="C50" s="28" t="s">
        <v>2233</v>
      </c>
      <c r="D50" s="1" t="s">
        <v>29</v>
      </c>
      <c r="E50" s="1" t="s">
        <v>2288</v>
      </c>
      <c r="F50" s="168">
        <v>100</v>
      </c>
      <c r="G50" s="168">
        <v>25</v>
      </c>
      <c r="H50" s="168">
        <v>8</v>
      </c>
      <c r="I50" s="168">
        <v>24</v>
      </c>
      <c r="J50" s="168"/>
      <c r="K50" s="168">
        <v>3</v>
      </c>
      <c r="L50" s="168"/>
      <c r="M50" s="1"/>
    </row>
    <row r="51" spans="1:13">
      <c r="A51" s="30">
        <v>49</v>
      </c>
      <c r="B51" s="1" t="s">
        <v>1759</v>
      </c>
      <c r="C51" s="28" t="s">
        <v>2233</v>
      </c>
      <c r="D51" s="1" t="s">
        <v>29</v>
      </c>
      <c r="E51" s="1" t="s">
        <v>2289</v>
      </c>
      <c r="F51" s="168">
        <v>100</v>
      </c>
      <c r="G51" s="168">
        <v>30</v>
      </c>
      <c r="H51" s="168">
        <v>7</v>
      </c>
      <c r="I51" s="168">
        <v>20</v>
      </c>
      <c r="J51" s="168"/>
      <c r="K51" s="168">
        <v>3</v>
      </c>
      <c r="L51" s="168"/>
      <c r="M51" s="1"/>
    </row>
    <row r="52" spans="1:13">
      <c r="A52" s="30">
        <v>50</v>
      </c>
      <c r="B52" s="1" t="s">
        <v>1760</v>
      </c>
      <c r="C52" s="28" t="s">
        <v>2233</v>
      </c>
      <c r="D52" s="1" t="s">
        <v>29</v>
      </c>
      <c r="E52" s="1" t="s">
        <v>2290</v>
      </c>
      <c r="F52" s="168">
        <v>100</v>
      </c>
      <c r="G52" s="168">
        <v>30</v>
      </c>
      <c r="H52" s="168">
        <v>8</v>
      </c>
      <c r="I52" s="168">
        <v>20</v>
      </c>
      <c r="J52" s="168"/>
      <c r="K52" s="168">
        <v>3</v>
      </c>
      <c r="L52" s="168"/>
      <c r="M52" s="1"/>
    </row>
    <row r="53" spans="1:13">
      <c r="A53" s="30">
        <v>51</v>
      </c>
      <c r="B53" s="1" t="s">
        <v>1761</v>
      </c>
      <c r="C53" s="28" t="s">
        <v>2233</v>
      </c>
      <c r="D53" s="1" t="s">
        <v>29</v>
      </c>
      <c r="E53" s="1" t="s">
        <v>2291</v>
      </c>
      <c r="F53" s="168">
        <v>100</v>
      </c>
      <c r="G53" s="168">
        <v>40</v>
      </c>
      <c r="H53" s="168">
        <v>10</v>
      </c>
      <c r="I53" s="168">
        <v>2</v>
      </c>
      <c r="J53" s="168"/>
      <c r="K53" s="168">
        <v>3</v>
      </c>
      <c r="L53" s="168"/>
      <c r="M53" s="1"/>
    </row>
    <row r="54" spans="1:13">
      <c r="A54" s="30">
        <v>52</v>
      </c>
      <c r="B54" s="1" t="s">
        <v>1762</v>
      </c>
      <c r="C54" s="28" t="s">
        <v>2233</v>
      </c>
      <c r="D54" s="1" t="s">
        <v>29</v>
      </c>
      <c r="E54" s="1" t="s">
        <v>2292</v>
      </c>
      <c r="F54" s="168">
        <v>100</v>
      </c>
      <c r="G54" s="168">
        <v>50</v>
      </c>
      <c r="H54" s="168">
        <v>8</v>
      </c>
      <c r="I54" s="168">
        <v>9</v>
      </c>
      <c r="J54" s="168"/>
      <c r="K54" s="168">
        <v>3</v>
      </c>
      <c r="L54" s="168"/>
      <c r="M54" s="1"/>
    </row>
    <row r="55" spans="1:13">
      <c r="A55" s="30">
        <v>53</v>
      </c>
      <c r="B55" s="1" t="s">
        <v>1763</v>
      </c>
      <c r="C55" s="28" t="s">
        <v>2233</v>
      </c>
      <c r="D55" s="1" t="s">
        <v>29</v>
      </c>
      <c r="E55" s="1" t="s">
        <v>2293</v>
      </c>
      <c r="F55" s="168">
        <v>125</v>
      </c>
      <c r="G55" s="168">
        <v>25</v>
      </c>
      <c r="H55" s="168">
        <v>8</v>
      </c>
      <c r="I55" s="168">
        <v>18</v>
      </c>
      <c r="J55" s="168"/>
      <c r="K55" s="168">
        <v>3</v>
      </c>
      <c r="L55" s="168"/>
      <c r="M55" s="1"/>
    </row>
    <row r="56" spans="1:13">
      <c r="A56" s="30">
        <v>54</v>
      </c>
      <c r="B56" s="1" t="s">
        <v>1764</v>
      </c>
      <c r="C56" s="28" t="s">
        <v>2233</v>
      </c>
      <c r="D56" s="1" t="s">
        <v>29</v>
      </c>
      <c r="E56" s="1" t="s">
        <v>2294</v>
      </c>
      <c r="F56" s="168">
        <v>150</v>
      </c>
      <c r="G56" s="168">
        <v>25</v>
      </c>
      <c r="H56" s="168">
        <v>10</v>
      </c>
      <c r="I56" s="168">
        <v>12</v>
      </c>
      <c r="J56" s="168"/>
      <c r="K56" s="168">
        <v>3</v>
      </c>
      <c r="L56" s="168"/>
      <c r="M56" s="1"/>
    </row>
    <row r="57" spans="1:13">
      <c r="A57" s="30">
        <v>55</v>
      </c>
      <c r="B57" s="1" t="s">
        <v>1765</v>
      </c>
      <c r="C57" s="28" t="s">
        <v>2233</v>
      </c>
      <c r="D57" s="1" t="s">
        <v>29</v>
      </c>
      <c r="E57" s="1" t="s">
        <v>2295</v>
      </c>
      <c r="F57" s="168">
        <v>150</v>
      </c>
      <c r="G57" s="168">
        <v>25</v>
      </c>
      <c r="H57" s="168">
        <v>8</v>
      </c>
      <c r="I57" s="168">
        <v>14</v>
      </c>
      <c r="J57" s="168"/>
      <c r="K57" s="168">
        <v>3</v>
      </c>
      <c r="L57" s="168"/>
      <c r="M57" s="1"/>
    </row>
    <row r="58" spans="1:13">
      <c r="A58" s="30">
        <v>56</v>
      </c>
      <c r="B58" s="1" t="s">
        <v>1766</v>
      </c>
      <c r="C58" s="28" t="s">
        <v>2233</v>
      </c>
      <c r="D58" s="1" t="s">
        <v>29</v>
      </c>
      <c r="E58" s="1" t="s">
        <v>2296</v>
      </c>
      <c r="F58" s="168">
        <v>150</v>
      </c>
      <c r="G58" s="168">
        <v>25</v>
      </c>
      <c r="H58" s="168">
        <v>8</v>
      </c>
      <c r="I58" s="168">
        <v>16</v>
      </c>
      <c r="J58" s="168"/>
      <c r="K58" s="168">
        <v>3</v>
      </c>
      <c r="L58" s="168"/>
      <c r="M58" s="1"/>
    </row>
    <row r="59" spans="1:13">
      <c r="A59" s="30">
        <v>57</v>
      </c>
      <c r="B59" s="1" t="s">
        <v>1767</v>
      </c>
      <c r="C59" s="28" t="s">
        <v>2233</v>
      </c>
      <c r="D59" s="1" t="s">
        <v>29</v>
      </c>
      <c r="E59" s="1" t="s">
        <v>2297</v>
      </c>
      <c r="F59" s="168">
        <v>150</v>
      </c>
      <c r="G59" s="168">
        <v>50</v>
      </c>
      <c r="H59" s="168">
        <v>8</v>
      </c>
      <c r="I59" s="168">
        <v>8</v>
      </c>
      <c r="J59" s="168"/>
      <c r="K59" s="168">
        <v>3</v>
      </c>
      <c r="L59" s="168"/>
      <c r="M59" s="1"/>
    </row>
    <row r="60" spans="1:13">
      <c r="A60" s="30">
        <v>58</v>
      </c>
      <c r="B60" s="1" t="s">
        <v>1768</v>
      </c>
      <c r="C60" s="28" t="s">
        <v>2233</v>
      </c>
      <c r="D60" s="1" t="s">
        <v>29</v>
      </c>
      <c r="E60" s="1" t="s">
        <v>2298</v>
      </c>
      <c r="F60" s="168">
        <v>200</v>
      </c>
      <c r="G60" s="168">
        <v>25</v>
      </c>
      <c r="H60" s="168">
        <v>8</v>
      </c>
      <c r="I60" s="168">
        <v>10</v>
      </c>
      <c r="J60" s="168"/>
      <c r="K60" s="168">
        <v>3</v>
      </c>
      <c r="L60" s="168"/>
      <c r="M60" s="1"/>
    </row>
    <row r="61" spans="1:13">
      <c r="A61" s="30">
        <v>59</v>
      </c>
      <c r="B61" s="1" t="s">
        <v>1769</v>
      </c>
      <c r="C61" s="28" t="s">
        <v>2233</v>
      </c>
      <c r="D61" s="1" t="s">
        <v>29</v>
      </c>
      <c r="E61" s="1" t="s">
        <v>2299</v>
      </c>
      <c r="F61" s="168">
        <v>200</v>
      </c>
      <c r="G61" s="168">
        <v>25</v>
      </c>
      <c r="H61" s="168">
        <v>8</v>
      </c>
      <c r="I61" s="168">
        <v>12</v>
      </c>
      <c r="J61" s="168"/>
      <c r="K61" s="168">
        <v>3</v>
      </c>
      <c r="L61" s="168"/>
      <c r="M61" s="1"/>
    </row>
    <row r="62" spans="1:13">
      <c r="A62" s="30">
        <v>60</v>
      </c>
      <c r="B62" s="1" t="s">
        <v>1770</v>
      </c>
      <c r="C62" s="28" t="s">
        <v>2233</v>
      </c>
      <c r="D62" s="1" t="s">
        <v>29</v>
      </c>
      <c r="E62" s="1" t="s">
        <v>2300</v>
      </c>
      <c r="F62" s="168">
        <v>220</v>
      </c>
      <c r="G62" s="168">
        <v>50</v>
      </c>
      <c r="H62" s="168">
        <v>8</v>
      </c>
      <c r="I62" s="168">
        <v>6</v>
      </c>
      <c r="J62" s="168"/>
      <c r="K62" s="168">
        <v>3</v>
      </c>
      <c r="L62" s="168"/>
      <c r="M62" s="1"/>
    </row>
    <row r="63" spans="1:13">
      <c r="A63" s="30">
        <v>61</v>
      </c>
      <c r="B63" s="1" t="s">
        <v>1771</v>
      </c>
      <c r="C63" s="28" t="s">
        <v>2233</v>
      </c>
      <c r="D63" s="1" t="s">
        <v>29</v>
      </c>
      <c r="E63" s="1" t="s">
        <v>2301</v>
      </c>
      <c r="F63" s="168">
        <v>25</v>
      </c>
      <c r="G63" s="168">
        <v>25</v>
      </c>
      <c r="H63" s="168">
        <v>8</v>
      </c>
      <c r="I63" s="168">
        <v>96</v>
      </c>
      <c r="J63" s="168"/>
      <c r="K63" s="168">
        <v>3</v>
      </c>
      <c r="L63" s="168"/>
      <c r="M63" s="1"/>
    </row>
    <row r="64" spans="1:13">
      <c r="A64" s="30">
        <v>62</v>
      </c>
      <c r="B64" s="1" t="s">
        <v>1772</v>
      </c>
      <c r="C64" s="28" t="s">
        <v>2233</v>
      </c>
      <c r="D64" s="1" t="s">
        <v>29</v>
      </c>
      <c r="E64" s="1" t="s">
        <v>2302</v>
      </c>
      <c r="F64" s="168">
        <v>35</v>
      </c>
      <c r="G64" s="168">
        <v>25</v>
      </c>
      <c r="H64" s="168">
        <v>10</v>
      </c>
      <c r="I64" s="168">
        <v>40</v>
      </c>
      <c r="J64" s="168"/>
      <c r="K64" s="168">
        <v>3</v>
      </c>
      <c r="L64" s="168"/>
      <c r="M64" s="1"/>
    </row>
    <row r="65" spans="1:13">
      <c r="A65" s="30">
        <v>63</v>
      </c>
      <c r="B65" s="1" t="s">
        <v>1773</v>
      </c>
      <c r="C65" s="28" t="s">
        <v>2233</v>
      </c>
      <c r="D65" s="1" t="s">
        <v>29</v>
      </c>
      <c r="E65" s="1" t="s">
        <v>2303</v>
      </c>
      <c r="F65" s="168">
        <v>50</v>
      </c>
      <c r="G65" s="168">
        <v>20</v>
      </c>
      <c r="H65" s="168">
        <v>10</v>
      </c>
      <c r="I65" s="168">
        <v>40</v>
      </c>
      <c r="J65" s="168"/>
      <c r="K65" s="168">
        <v>3</v>
      </c>
      <c r="L65" s="168"/>
      <c r="M65" s="1"/>
    </row>
    <row r="66" spans="1:13">
      <c r="A66" s="30">
        <v>64</v>
      </c>
      <c r="B66" s="1" t="s">
        <v>1774</v>
      </c>
      <c r="C66" s="28" t="s">
        <v>2233</v>
      </c>
      <c r="D66" s="1" t="s">
        <v>29</v>
      </c>
      <c r="E66" s="1" t="s">
        <v>2304</v>
      </c>
      <c r="F66" s="168">
        <v>50</v>
      </c>
      <c r="G66" s="168">
        <v>25</v>
      </c>
      <c r="H66" s="168">
        <v>10</v>
      </c>
      <c r="I66" s="168">
        <v>36</v>
      </c>
      <c r="J66" s="168"/>
      <c r="K66" s="168">
        <v>3</v>
      </c>
      <c r="L66" s="168"/>
      <c r="M66" s="1"/>
    </row>
    <row r="67" spans="1:13">
      <c r="A67" s="30">
        <v>65</v>
      </c>
      <c r="B67" s="1" t="s">
        <v>1775</v>
      </c>
      <c r="C67" s="28" t="s">
        <v>2233</v>
      </c>
      <c r="D67" s="1" t="s">
        <v>29</v>
      </c>
      <c r="E67" s="1" t="s">
        <v>2305</v>
      </c>
      <c r="F67" s="168">
        <v>50</v>
      </c>
      <c r="G67" s="168">
        <v>25</v>
      </c>
      <c r="H67" s="168">
        <v>7</v>
      </c>
      <c r="I67" s="168">
        <v>52</v>
      </c>
      <c r="J67" s="168"/>
      <c r="K67" s="168">
        <v>3</v>
      </c>
      <c r="L67" s="168"/>
      <c r="M67" s="1"/>
    </row>
    <row r="68" spans="1:13">
      <c r="A68" s="30">
        <v>66</v>
      </c>
      <c r="B68" s="1" t="s">
        <v>1776</v>
      </c>
      <c r="C68" s="28" t="s">
        <v>2233</v>
      </c>
      <c r="D68" s="1" t="s">
        <v>29</v>
      </c>
      <c r="E68" s="1" t="s">
        <v>2306</v>
      </c>
      <c r="F68" s="168">
        <v>50</v>
      </c>
      <c r="G68" s="168">
        <v>25</v>
      </c>
      <c r="H68" s="168">
        <v>8</v>
      </c>
      <c r="I68" s="168">
        <v>48</v>
      </c>
      <c r="J68" s="168"/>
      <c r="K68" s="168">
        <v>3</v>
      </c>
      <c r="L68" s="168"/>
      <c r="M68" s="1"/>
    </row>
    <row r="69" spans="1:13">
      <c r="A69" s="30">
        <v>67</v>
      </c>
      <c r="B69" s="1" t="s">
        <v>1777</v>
      </c>
      <c r="C69" s="28" t="s">
        <v>2233</v>
      </c>
      <c r="D69" s="1" t="s">
        <v>29</v>
      </c>
      <c r="E69" s="1" t="s">
        <v>2307</v>
      </c>
      <c r="F69" s="168">
        <v>60</v>
      </c>
      <c r="G69" s="168">
        <v>20</v>
      </c>
      <c r="H69" s="168">
        <v>6</v>
      </c>
      <c r="I69" s="168">
        <v>48</v>
      </c>
      <c r="J69" s="168"/>
      <c r="K69" s="168">
        <v>3</v>
      </c>
      <c r="L69" s="168"/>
      <c r="M69" s="1"/>
    </row>
    <row r="70" spans="1:13">
      <c r="A70" s="30">
        <v>68</v>
      </c>
      <c r="B70" s="1" t="s">
        <v>1778</v>
      </c>
      <c r="C70" s="28" t="s">
        <v>2233</v>
      </c>
      <c r="D70" s="1" t="s">
        <v>29</v>
      </c>
      <c r="E70" s="1" t="s">
        <v>2308</v>
      </c>
      <c r="F70" s="168">
        <v>75</v>
      </c>
      <c r="G70" s="168">
        <v>25</v>
      </c>
      <c r="H70" s="168">
        <v>7</v>
      </c>
      <c r="I70" s="168">
        <v>32</v>
      </c>
      <c r="J70" s="168"/>
      <c r="K70" s="168">
        <v>3</v>
      </c>
      <c r="L70" s="168"/>
      <c r="M70" s="1"/>
    </row>
    <row r="71" spans="1:13">
      <c r="A71" s="30">
        <v>69</v>
      </c>
      <c r="B71" s="1" t="s">
        <v>1779</v>
      </c>
      <c r="C71" s="28" t="s">
        <v>2233</v>
      </c>
      <c r="D71" s="1" t="s">
        <v>29</v>
      </c>
      <c r="E71" s="1" t="s">
        <v>2309</v>
      </c>
      <c r="F71" s="168">
        <v>75</v>
      </c>
      <c r="G71" s="168">
        <v>25</v>
      </c>
      <c r="H71" s="168">
        <v>8</v>
      </c>
      <c r="I71" s="168">
        <v>28</v>
      </c>
      <c r="J71" s="168"/>
      <c r="K71" s="168">
        <v>3</v>
      </c>
      <c r="L71" s="168"/>
      <c r="M71" s="1"/>
    </row>
    <row r="72" spans="1:13">
      <c r="A72" s="30">
        <v>70</v>
      </c>
      <c r="B72" s="1" t="s">
        <v>1780</v>
      </c>
      <c r="C72" s="28" t="s">
        <v>2233</v>
      </c>
      <c r="D72" s="1" t="s">
        <v>29</v>
      </c>
      <c r="E72" s="1" t="s">
        <v>2310</v>
      </c>
      <c r="F72" s="168">
        <v>100</v>
      </c>
      <c r="G72" s="168">
        <v>16</v>
      </c>
      <c r="H72" s="168">
        <v>16</v>
      </c>
      <c r="I72" s="168">
        <v>17</v>
      </c>
      <c r="J72" s="168"/>
      <c r="K72" s="168">
        <v>3</v>
      </c>
      <c r="L72" s="168"/>
      <c r="M72" s="1"/>
    </row>
    <row r="73" spans="1:13">
      <c r="A73" s="30">
        <v>71</v>
      </c>
      <c r="B73" s="1" t="s">
        <v>1781</v>
      </c>
      <c r="C73" s="28" t="s">
        <v>2233</v>
      </c>
      <c r="D73" s="1" t="s">
        <v>29</v>
      </c>
      <c r="E73" s="1" t="s">
        <v>2311</v>
      </c>
      <c r="F73" s="168">
        <v>100</v>
      </c>
      <c r="G73" s="168">
        <v>25</v>
      </c>
      <c r="H73" s="168">
        <v>8</v>
      </c>
      <c r="I73" s="168">
        <v>28</v>
      </c>
      <c r="J73" s="168"/>
      <c r="K73" s="168">
        <v>3</v>
      </c>
      <c r="L73" s="168"/>
      <c r="M73" s="1"/>
    </row>
    <row r="74" spans="1:13">
      <c r="A74" s="30">
        <v>72</v>
      </c>
      <c r="B74" s="1" t="s">
        <v>1782</v>
      </c>
      <c r="C74" s="28" t="s">
        <v>2233</v>
      </c>
      <c r="D74" s="1" t="s">
        <v>29</v>
      </c>
      <c r="E74" s="1" t="s">
        <v>2312</v>
      </c>
      <c r="F74" s="168">
        <v>120</v>
      </c>
      <c r="G74" s="168">
        <v>12</v>
      </c>
      <c r="H74" s="168">
        <v>12</v>
      </c>
      <c r="I74" s="168">
        <v>28</v>
      </c>
      <c r="J74" s="168"/>
      <c r="K74" s="168">
        <v>3</v>
      </c>
      <c r="L74" s="168"/>
      <c r="M74" s="1"/>
    </row>
    <row r="75" spans="1:13">
      <c r="A75" s="30">
        <v>73</v>
      </c>
      <c r="B75" s="1" t="s">
        <v>1783</v>
      </c>
      <c r="C75" s="28" t="s">
        <v>2233</v>
      </c>
      <c r="D75" s="1" t="s">
        <v>29</v>
      </c>
      <c r="E75" s="1" t="s">
        <v>2313</v>
      </c>
      <c r="F75" s="168">
        <v>40</v>
      </c>
      <c r="G75" s="168">
        <v>12</v>
      </c>
      <c r="H75" s="168">
        <v>12</v>
      </c>
      <c r="I75" s="168">
        <v>90</v>
      </c>
      <c r="J75" s="168"/>
      <c r="K75" s="168">
        <v>3</v>
      </c>
      <c r="L75" s="168"/>
      <c r="M75" s="1"/>
    </row>
    <row r="76" spans="1:13">
      <c r="A76" s="30">
        <v>74</v>
      </c>
      <c r="B76" s="1" t="s">
        <v>1784</v>
      </c>
      <c r="C76" s="28" t="s">
        <v>2233</v>
      </c>
      <c r="D76" s="1" t="s">
        <v>29</v>
      </c>
      <c r="E76" s="1" t="s">
        <v>2314</v>
      </c>
      <c r="F76" s="168">
        <v>60</v>
      </c>
      <c r="G76" s="168">
        <v>12</v>
      </c>
      <c r="H76" s="168">
        <v>12</v>
      </c>
      <c r="I76" s="168">
        <v>56</v>
      </c>
      <c r="J76" s="168"/>
      <c r="K76" s="168">
        <v>3</v>
      </c>
      <c r="L76" s="168"/>
      <c r="M76" s="1"/>
    </row>
    <row r="77" spans="1:13">
      <c r="A77" s="30">
        <v>75</v>
      </c>
      <c r="B77" s="1" t="s">
        <v>1785</v>
      </c>
      <c r="C77" s="28" t="s">
        <v>2233</v>
      </c>
      <c r="D77" s="1" t="s">
        <v>29</v>
      </c>
      <c r="E77" s="1" t="s">
        <v>2315</v>
      </c>
      <c r="F77" s="168">
        <v>90</v>
      </c>
      <c r="G77" s="168">
        <v>12</v>
      </c>
      <c r="H77" s="168">
        <v>12</v>
      </c>
      <c r="I77" s="168">
        <v>32</v>
      </c>
      <c r="J77" s="168"/>
      <c r="K77" s="168">
        <v>3</v>
      </c>
      <c r="L77" s="168"/>
      <c r="M77" s="1"/>
    </row>
    <row r="78" spans="1:13">
      <c r="A78" s="30">
        <v>76</v>
      </c>
      <c r="B78" s="1" t="s">
        <v>1786</v>
      </c>
      <c r="C78" s="28" t="s">
        <v>2233</v>
      </c>
      <c r="D78" s="1" t="s">
        <v>10</v>
      </c>
      <c r="E78" s="1" t="s">
        <v>2316</v>
      </c>
      <c r="F78" s="168">
        <v>80</v>
      </c>
      <c r="G78" s="168">
        <v>40</v>
      </c>
      <c r="H78" s="168">
        <v>4</v>
      </c>
      <c r="I78" s="168">
        <v>20</v>
      </c>
      <c r="J78" s="168"/>
      <c r="K78" s="168">
        <v>3</v>
      </c>
      <c r="L78" s="168"/>
      <c r="M78" s="1"/>
    </row>
    <row r="79" spans="1:13">
      <c r="A79" s="30">
        <v>77</v>
      </c>
      <c r="B79" s="1" t="s">
        <v>1787</v>
      </c>
      <c r="C79" s="28" t="s">
        <v>2233</v>
      </c>
      <c r="D79" s="1" t="s">
        <v>10</v>
      </c>
      <c r="E79" s="1" t="s">
        <v>2853</v>
      </c>
      <c r="F79" s="168">
        <v>18</v>
      </c>
      <c r="G79" s="168">
        <v>12</v>
      </c>
      <c r="H79" s="168">
        <v>6</v>
      </c>
      <c r="I79" s="168">
        <v>192</v>
      </c>
      <c r="J79" s="168"/>
      <c r="K79" s="168">
        <v>3</v>
      </c>
      <c r="L79" s="168"/>
      <c r="M79" s="1" t="s">
        <v>1698</v>
      </c>
    </row>
    <row r="80" spans="1:13">
      <c r="A80" s="30">
        <v>78</v>
      </c>
      <c r="B80" s="1" t="s">
        <v>1788</v>
      </c>
      <c r="C80" s="28" t="s">
        <v>2233</v>
      </c>
      <c r="D80" s="1" t="s">
        <v>10</v>
      </c>
      <c r="E80" s="1" t="s">
        <v>2317</v>
      </c>
      <c r="F80" s="168">
        <v>15</v>
      </c>
      <c r="G80" s="168">
        <v>15</v>
      </c>
      <c r="H80" s="168">
        <v>1.2</v>
      </c>
      <c r="I80" s="168">
        <v>250</v>
      </c>
      <c r="J80" s="168"/>
      <c r="K80" s="168">
        <v>3</v>
      </c>
      <c r="L80" s="168"/>
      <c r="M80" s="1"/>
    </row>
    <row r="81" spans="1:13">
      <c r="A81" s="30">
        <v>79</v>
      </c>
      <c r="B81" s="1" t="s">
        <v>1789</v>
      </c>
      <c r="C81" s="28" t="s">
        <v>2233</v>
      </c>
      <c r="D81" s="1" t="s">
        <v>10</v>
      </c>
      <c r="E81" s="1" t="s">
        <v>2318</v>
      </c>
      <c r="F81" s="168">
        <v>20</v>
      </c>
      <c r="G81" s="168">
        <v>10</v>
      </c>
      <c r="H81" s="168">
        <v>3</v>
      </c>
      <c r="I81" s="168">
        <v>660</v>
      </c>
      <c r="J81" s="168"/>
      <c r="K81" s="168">
        <v>3</v>
      </c>
      <c r="L81" s="168"/>
      <c r="M81" s="1"/>
    </row>
    <row r="82" spans="1:13">
      <c r="A82" s="30">
        <v>80</v>
      </c>
      <c r="B82" s="1" t="s">
        <v>1790</v>
      </c>
      <c r="C82" s="28" t="s">
        <v>2233</v>
      </c>
      <c r="D82" s="1" t="s">
        <v>10</v>
      </c>
      <c r="E82" s="1" t="s">
        <v>2319</v>
      </c>
      <c r="F82" s="168">
        <v>35</v>
      </c>
      <c r="G82" s="168">
        <v>15</v>
      </c>
      <c r="H82" s="168">
        <v>6</v>
      </c>
      <c r="I82" s="168">
        <v>128</v>
      </c>
      <c r="J82" s="168"/>
      <c r="K82" s="168">
        <v>3</v>
      </c>
      <c r="L82" s="168"/>
      <c r="M82" s="1"/>
    </row>
    <row r="83" spans="1:13">
      <c r="A83" s="30">
        <v>81</v>
      </c>
      <c r="B83" s="1" t="s">
        <v>1791</v>
      </c>
      <c r="C83" s="28" t="s">
        <v>2233</v>
      </c>
      <c r="D83" s="1" t="s">
        <v>10</v>
      </c>
      <c r="E83" s="1" t="s">
        <v>2320</v>
      </c>
      <c r="F83" s="168">
        <v>60</v>
      </c>
      <c r="G83" s="168">
        <v>30</v>
      </c>
      <c r="H83" s="168">
        <v>3</v>
      </c>
      <c r="I83" s="168">
        <v>68</v>
      </c>
      <c r="J83" s="168"/>
      <c r="K83" s="168">
        <v>3</v>
      </c>
      <c r="L83" s="168"/>
      <c r="M83" s="1"/>
    </row>
    <row r="84" spans="1:13">
      <c r="A84" s="30">
        <v>82</v>
      </c>
      <c r="B84" s="1" t="s">
        <v>1792</v>
      </c>
      <c r="C84" s="28" t="s">
        <v>2233</v>
      </c>
      <c r="D84" s="1" t="s">
        <v>10</v>
      </c>
      <c r="E84" s="1" t="s">
        <v>2321</v>
      </c>
      <c r="F84" s="168">
        <v>60</v>
      </c>
      <c r="G84" s="168">
        <v>40</v>
      </c>
      <c r="H84" s="168">
        <v>3</v>
      </c>
      <c r="I84" s="168">
        <v>34</v>
      </c>
      <c r="J84" s="168"/>
      <c r="K84" s="168">
        <v>3</v>
      </c>
      <c r="L84" s="168"/>
      <c r="M84" s="1"/>
    </row>
    <row r="85" spans="1:13">
      <c r="A85" s="30">
        <v>83</v>
      </c>
      <c r="B85" s="1" t="s">
        <v>1793</v>
      </c>
      <c r="C85" s="28" t="s">
        <v>2233</v>
      </c>
      <c r="D85" s="1" t="s">
        <v>10</v>
      </c>
      <c r="E85" s="1" t="s">
        <v>2322</v>
      </c>
      <c r="F85" s="168">
        <v>60</v>
      </c>
      <c r="G85" s="168">
        <v>60</v>
      </c>
      <c r="H85" s="168">
        <v>3</v>
      </c>
      <c r="I85" s="168">
        <v>34</v>
      </c>
      <c r="J85" s="168"/>
      <c r="K85" s="168">
        <v>3</v>
      </c>
      <c r="L85" s="168"/>
      <c r="M85" s="1"/>
    </row>
    <row r="86" spans="1:13">
      <c r="A86" s="30">
        <v>84</v>
      </c>
      <c r="B86" s="1" t="s">
        <v>1794</v>
      </c>
      <c r="C86" s="28" t="s">
        <v>2233</v>
      </c>
      <c r="D86" s="1" t="s">
        <v>10</v>
      </c>
      <c r="E86" s="1" t="s">
        <v>2323</v>
      </c>
      <c r="F86" s="168">
        <v>80</v>
      </c>
      <c r="G86" s="168">
        <v>30</v>
      </c>
      <c r="H86" s="168">
        <v>3</v>
      </c>
      <c r="I86" s="168">
        <v>34</v>
      </c>
      <c r="J86" s="168"/>
      <c r="K86" s="168">
        <v>3</v>
      </c>
      <c r="L86" s="168"/>
      <c r="M86" s="1"/>
    </row>
    <row r="87" spans="1:13">
      <c r="A87" s="30">
        <v>85</v>
      </c>
      <c r="B87" s="1" t="s">
        <v>1795</v>
      </c>
      <c r="C87" s="28" t="s">
        <v>2233</v>
      </c>
      <c r="D87" s="1" t="s">
        <v>10</v>
      </c>
      <c r="E87" s="1" t="s">
        <v>2324</v>
      </c>
      <c r="F87" s="168">
        <v>80</v>
      </c>
      <c r="G87" s="168">
        <v>40</v>
      </c>
      <c r="H87" s="168">
        <v>3</v>
      </c>
      <c r="I87" s="168">
        <v>34</v>
      </c>
      <c r="J87" s="168"/>
      <c r="K87" s="168">
        <v>3</v>
      </c>
      <c r="L87" s="168"/>
      <c r="M87" s="1"/>
    </row>
    <row r="88" spans="1:13">
      <c r="A88" s="30">
        <v>86</v>
      </c>
      <c r="B88" s="1" t="s">
        <v>1796</v>
      </c>
      <c r="C88" s="28" t="s">
        <v>2233</v>
      </c>
      <c r="D88" s="1" t="s">
        <v>10</v>
      </c>
      <c r="E88" s="1" t="s">
        <v>2325</v>
      </c>
      <c r="F88" s="168">
        <v>90</v>
      </c>
      <c r="G88" s="168">
        <v>45</v>
      </c>
      <c r="H88" s="168">
        <v>3</v>
      </c>
      <c r="I88" s="168">
        <v>30</v>
      </c>
      <c r="J88" s="168"/>
      <c r="K88" s="168">
        <v>3</v>
      </c>
      <c r="L88" s="168"/>
      <c r="M88" s="1"/>
    </row>
    <row r="89" spans="1:13">
      <c r="A89" s="30">
        <v>87</v>
      </c>
      <c r="B89" s="1" t="s">
        <v>1797</v>
      </c>
      <c r="C89" s="28" t="s">
        <v>2233</v>
      </c>
      <c r="D89" s="1" t="s">
        <v>10</v>
      </c>
      <c r="E89" s="1" t="s">
        <v>2326</v>
      </c>
      <c r="F89" s="168">
        <v>90</v>
      </c>
      <c r="G89" s="168">
        <v>60</v>
      </c>
      <c r="H89" s="168">
        <v>3</v>
      </c>
      <c r="I89" s="168">
        <v>20</v>
      </c>
      <c r="J89" s="168"/>
      <c r="K89" s="168">
        <v>3</v>
      </c>
      <c r="L89" s="168"/>
      <c r="M89" s="1"/>
    </row>
    <row r="90" spans="1:13">
      <c r="A90" s="30">
        <v>88</v>
      </c>
      <c r="B90" s="1" t="s">
        <v>1798</v>
      </c>
      <c r="C90" s="28" t="s">
        <v>2233</v>
      </c>
      <c r="D90" s="1" t="s">
        <v>10</v>
      </c>
      <c r="E90" s="1" t="s">
        <v>2327</v>
      </c>
      <c r="F90" s="168">
        <v>90</v>
      </c>
      <c r="G90" s="168">
        <v>60</v>
      </c>
      <c r="H90" s="168">
        <v>3</v>
      </c>
      <c r="I90" s="168">
        <v>25</v>
      </c>
      <c r="J90" s="168"/>
      <c r="K90" s="168">
        <v>3</v>
      </c>
      <c r="L90" s="168"/>
      <c r="M90" s="1"/>
    </row>
    <row r="91" spans="1:13">
      <c r="A91" s="30">
        <v>89</v>
      </c>
      <c r="B91" s="1" t="s">
        <v>1799</v>
      </c>
      <c r="C91" s="28" t="s">
        <v>2233</v>
      </c>
      <c r="D91" s="1" t="s">
        <v>30</v>
      </c>
      <c r="E91" s="1" t="s">
        <v>2328</v>
      </c>
      <c r="F91" s="168">
        <v>220</v>
      </c>
      <c r="G91" s="168">
        <v>60</v>
      </c>
      <c r="H91" s="168">
        <v>3</v>
      </c>
      <c r="I91" s="168">
        <v>20</v>
      </c>
      <c r="J91" s="168"/>
      <c r="K91" s="168">
        <v>3</v>
      </c>
      <c r="L91" s="168"/>
      <c r="M91" s="1"/>
    </row>
    <row r="92" spans="1:13">
      <c r="A92" s="30">
        <v>90</v>
      </c>
      <c r="B92" s="1" t="s">
        <v>1800</v>
      </c>
      <c r="C92" s="28" t="s">
        <v>2233</v>
      </c>
      <c r="D92" s="1" t="s">
        <v>30</v>
      </c>
      <c r="E92" s="1" t="s">
        <v>2329</v>
      </c>
      <c r="F92" s="168">
        <v>220</v>
      </c>
      <c r="G92" s="168">
        <v>60</v>
      </c>
      <c r="H92" s="168">
        <v>4</v>
      </c>
      <c r="I92" s="168">
        <v>12</v>
      </c>
      <c r="J92" s="168"/>
      <c r="K92" s="168">
        <v>3</v>
      </c>
      <c r="L92" s="168"/>
      <c r="M92" s="1"/>
    </row>
    <row r="93" spans="1:13">
      <c r="A93" s="30">
        <v>91</v>
      </c>
      <c r="B93" s="1" t="s">
        <v>1801</v>
      </c>
      <c r="C93" s="28" t="s">
        <v>2233</v>
      </c>
      <c r="D93" s="1" t="s">
        <v>30</v>
      </c>
      <c r="E93" s="1" t="s">
        <v>2330</v>
      </c>
      <c r="F93" s="168">
        <v>220</v>
      </c>
      <c r="G93" s="168">
        <v>80</v>
      </c>
      <c r="H93" s="168">
        <v>3</v>
      </c>
      <c r="I93" s="168">
        <v>10</v>
      </c>
      <c r="J93" s="168"/>
      <c r="K93" s="168">
        <v>3</v>
      </c>
      <c r="L93" s="168"/>
      <c r="M93" s="1"/>
    </row>
    <row r="94" spans="1:13">
      <c r="A94" s="30">
        <v>92</v>
      </c>
      <c r="B94" s="1" t="s">
        <v>1802</v>
      </c>
      <c r="C94" s="28" t="s">
        <v>2233</v>
      </c>
      <c r="D94" s="1" t="s">
        <v>30</v>
      </c>
      <c r="E94" s="1" t="s">
        <v>2331</v>
      </c>
      <c r="F94" s="168">
        <v>220</v>
      </c>
      <c r="G94" s="168">
        <v>80</v>
      </c>
      <c r="H94" s="168">
        <v>4</v>
      </c>
      <c r="I94" s="168">
        <v>8</v>
      </c>
      <c r="J94" s="168"/>
      <c r="K94" s="168">
        <v>3</v>
      </c>
      <c r="L94" s="168"/>
      <c r="M94" s="1"/>
    </row>
    <row r="95" spans="1:13">
      <c r="A95" s="30">
        <v>93</v>
      </c>
      <c r="B95" s="1" t="s">
        <v>1803</v>
      </c>
      <c r="C95" s="28" t="s">
        <v>2233</v>
      </c>
      <c r="D95" s="1" t="s">
        <v>30</v>
      </c>
      <c r="E95" s="1" t="s">
        <v>2332</v>
      </c>
      <c r="F95" s="168">
        <v>220</v>
      </c>
      <c r="G95" s="168">
        <v>60</v>
      </c>
      <c r="H95" s="168">
        <v>4</v>
      </c>
      <c r="I95" s="168">
        <v>12</v>
      </c>
      <c r="J95" s="168"/>
      <c r="K95" s="168">
        <v>3</v>
      </c>
      <c r="L95" s="168"/>
      <c r="M95" s="1"/>
    </row>
    <row r="96" spans="1:13">
      <c r="A96" s="30">
        <v>94</v>
      </c>
      <c r="B96" s="1" t="s">
        <v>1804</v>
      </c>
      <c r="C96" s="28" t="s">
        <v>2233</v>
      </c>
      <c r="D96" s="1" t="s">
        <v>30</v>
      </c>
      <c r="E96" s="1" t="s">
        <v>2333</v>
      </c>
      <c r="F96" s="168">
        <v>100</v>
      </c>
      <c r="G96" s="168">
        <v>30</v>
      </c>
      <c r="H96" s="168">
        <v>6</v>
      </c>
      <c r="I96" s="168">
        <v>20</v>
      </c>
      <c r="J96" s="168"/>
      <c r="K96" s="168">
        <v>3</v>
      </c>
      <c r="L96" s="168"/>
      <c r="M96" s="1"/>
    </row>
    <row r="97" spans="1:13">
      <c r="A97" s="30">
        <v>95</v>
      </c>
      <c r="B97" s="1" t="s">
        <v>1805</v>
      </c>
      <c r="C97" s="28" t="s">
        <v>2233</v>
      </c>
      <c r="D97" s="1" t="s">
        <v>1699</v>
      </c>
      <c r="E97" s="1" t="s">
        <v>2334</v>
      </c>
      <c r="F97" s="168">
        <v>75</v>
      </c>
      <c r="G97" s="168">
        <v>30</v>
      </c>
      <c r="H97" s="168">
        <v>4</v>
      </c>
      <c r="I97" s="168">
        <v>30</v>
      </c>
      <c r="J97" s="168"/>
      <c r="K97" s="168">
        <v>3</v>
      </c>
      <c r="L97" s="168"/>
      <c r="M97" s="1"/>
    </row>
    <row r="98" spans="1:13">
      <c r="A98" s="30">
        <v>96</v>
      </c>
      <c r="B98" s="1" t="s">
        <v>1806</v>
      </c>
      <c r="C98" s="28" t="s">
        <v>2233</v>
      </c>
      <c r="D98" s="1" t="s">
        <v>1699</v>
      </c>
      <c r="E98" s="1" t="s">
        <v>2335</v>
      </c>
      <c r="F98" s="168">
        <v>75</v>
      </c>
      <c r="G98" s="168">
        <v>35</v>
      </c>
      <c r="H98" s="168">
        <v>4</v>
      </c>
      <c r="I98" s="168">
        <v>30</v>
      </c>
      <c r="J98" s="168"/>
      <c r="K98" s="168">
        <v>3</v>
      </c>
      <c r="L98" s="168"/>
      <c r="M98" s="1"/>
    </row>
    <row r="99" spans="1:13">
      <c r="A99" s="30">
        <v>97</v>
      </c>
      <c r="B99" s="1" t="s">
        <v>1807</v>
      </c>
      <c r="C99" s="28" t="s">
        <v>2233</v>
      </c>
      <c r="D99" s="1" t="s">
        <v>1699</v>
      </c>
      <c r="E99" s="1" t="s">
        <v>2336</v>
      </c>
      <c r="F99" s="168">
        <v>75</v>
      </c>
      <c r="G99" s="168">
        <v>40</v>
      </c>
      <c r="H99" s="168">
        <v>4</v>
      </c>
      <c r="I99" s="168">
        <v>30</v>
      </c>
      <c r="J99" s="168"/>
      <c r="K99" s="168">
        <v>3</v>
      </c>
      <c r="L99" s="168"/>
      <c r="M99" s="1"/>
    </row>
    <row r="100" spans="1:13">
      <c r="A100" s="30">
        <v>98</v>
      </c>
      <c r="B100" s="1" t="s">
        <v>1808</v>
      </c>
      <c r="C100" s="28" t="s">
        <v>2233</v>
      </c>
      <c r="D100" s="1" t="s">
        <v>1699</v>
      </c>
      <c r="E100" s="1" t="s">
        <v>2337</v>
      </c>
      <c r="F100" s="168">
        <v>100</v>
      </c>
      <c r="G100" s="168">
        <v>26</v>
      </c>
      <c r="H100" s="168">
        <v>5</v>
      </c>
      <c r="I100" s="168">
        <v>20</v>
      </c>
      <c r="J100" s="168"/>
      <c r="K100" s="168">
        <v>3</v>
      </c>
      <c r="L100" s="168"/>
      <c r="M100" s="1"/>
    </row>
    <row r="101" spans="1:13">
      <c r="A101" s="30">
        <v>99</v>
      </c>
      <c r="B101" s="1" t="s">
        <v>1809</v>
      </c>
      <c r="C101" s="28" t="s">
        <v>2233</v>
      </c>
      <c r="D101" s="1" t="s">
        <v>1699</v>
      </c>
      <c r="E101" s="1" t="s">
        <v>2338</v>
      </c>
      <c r="F101" s="168">
        <v>100</v>
      </c>
      <c r="G101" s="168">
        <v>30</v>
      </c>
      <c r="H101" s="168">
        <v>4</v>
      </c>
      <c r="I101" s="168">
        <v>25</v>
      </c>
      <c r="J101" s="168"/>
      <c r="K101" s="168">
        <v>3</v>
      </c>
      <c r="L101" s="168"/>
      <c r="M101" s="1"/>
    </row>
    <row r="102" spans="1:13">
      <c r="A102" s="30">
        <v>100</v>
      </c>
      <c r="B102" s="1" t="s">
        <v>1810</v>
      </c>
      <c r="C102" s="28" t="s">
        <v>2233</v>
      </c>
      <c r="D102" s="1" t="s">
        <v>1699</v>
      </c>
      <c r="E102" s="1" t="s">
        <v>2339</v>
      </c>
      <c r="F102" s="168">
        <v>100</v>
      </c>
      <c r="G102" s="168">
        <v>25</v>
      </c>
      <c r="H102" s="168">
        <v>4</v>
      </c>
      <c r="I102" s="168">
        <v>25</v>
      </c>
      <c r="J102" s="168"/>
      <c r="K102" s="168">
        <v>3</v>
      </c>
      <c r="L102" s="168"/>
      <c r="M102" s="1"/>
    </row>
    <row r="103" spans="1:13">
      <c r="A103" s="30">
        <v>101</v>
      </c>
      <c r="B103" s="1" t="s">
        <v>1811</v>
      </c>
      <c r="C103" s="28" t="s">
        <v>2233</v>
      </c>
      <c r="D103" s="1" t="s">
        <v>1699</v>
      </c>
      <c r="E103" s="1" t="s">
        <v>2340</v>
      </c>
      <c r="F103" s="168">
        <v>100</v>
      </c>
      <c r="G103" s="168">
        <v>30</v>
      </c>
      <c r="H103" s="168">
        <v>3</v>
      </c>
      <c r="I103" s="168">
        <v>35</v>
      </c>
      <c r="J103" s="168"/>
      <c r="K103" s="168">
        <v>3</v>
      </c>
      <c r="L103" s="168"/>
      <c r="M103" s="1"/>
    </row>
    <row r="104" spans="1:13">
      <c r="A104" s="30">
        <v>102</v>
      </c>
      <c r="B104" s="1" t="s">
        <v>1812</v>
      </c>
      <c r="C104" s="28" t="s">
        <v>2233</v>
      </c>
      <c r="D104" s="1" t="s">
        <v>1699</v>
      </c>
      <c r="E104" s="1" t="s">
        <v>2341</v>
      </c>
      <c r="F104" s="168">
        <v>100</v>
      </c>
      <c r="G104" s="168">
        <v>30</v>
      </c>
      <c r="H104" s="168">
        <v>4</v>
      </c>
      <c r="I104" s="168">
        <v>25</v>
      </c>
      <c r="J104" s="168"/>
      <c r="K104" s="168">
        <v>3</v>
      </c>
      <c r="L104" s="168"/>
      <c r="M104" s="1"/>
    </row>
    <row r="105" spans="1:13">
      <c r="A105" s="30">
        <v>103</v>
      </c>
      <c r="B105" s="1" t="s">
        <v>1813</v>
      </c>
      <c r="C105" s="28" t="s">
        <v>2233</v>
      </c>
      <c r="D105" s="1" t="s">
        <v>1699</v>
      </c>
      <c r="E105" s="1" t="s">
        <v>2342</v>
      </c>
      <c r="F105" s="168">
        <v>100</v>
      </c>
      <c r="G105" s="168">
        <v>35</v>
      </c>
      <c r="H105" s="168">
        <v>3</v>
      </c>
      <c r="I105" s="168">
        <v>30</v>
      </c>
      <c r="J105" s="168"/>
      <c r="K105" s="168">
        <v>3</v>
      </c>
      <c r="L105" s="168"/>
      <c r="M105" s="1"/>
    </row>
    <row r="106" spans="1:13">
      <c r="A106" s="30">
        <v>104</v>
      </c>
      <c r="B106" s="1" t="s">
        <v>1814</v>
      </c>
      <c r="C106" s="28" t="s">
        <v>2233</v>
      </c>
      <c r="D106" s="1" t="s">
        <v>1699</v>
      </c>
      <c r="E106" s="1" t="s">
        <v>2343</v>
      </c>
      <c r="F106" s="168">
        <v>100</v>
      </c>
      <c r="G106" s="168">
        <v>35</v>
      </c>
      <c r="H106" s="168">
        <v>4</v>
      </c>
      <c r="I106" s="168">
        <v>25</v>
      </c>
      <c r="J106" s="168"/>
      <c r="K106" s="168">
        <v>3</v>
      </c>
      <c r="L106" s="168"/>
      <c r="M106" s="1"/>
    </row>
    <row r="107" spans="1:13">
      <c r="A107" s="30">
        <v>105</v>
      </c>
      <c r="B107" s="1" t="s">
        <v>1815</v>
      </c>
      <c r="C107" s="28" t="s">
        <v>2233</v>
      </c>
      <c r="D107" s="1" t="s">
        <v>1699</v>
      </c>
      <c r="E107" s="1" t="s">
        <v>2344</v>
      </c>
      <c r="F107" s="168">
        <v>100</v>
      </c>
      <c r="G107" s="168">
        <v>40</v>
      </c>
      <c r="H107" s="168">
        <v>4</v>
      </c>
      <c r="I107" s="168">
        <v>25</v>
      </c>
      <c r="J107" s="168"/>
      <c r="K107" s="168">
        <v>3</v>
      </c>
      <c r="L107" s="168"/>
      <c r="M107" s="1"/>
    </row>
    <row r="108" spans="1:13">
      <c r="A108" s="30">
        <v>106</v>
      </c>
      <c r="B108" s="1" t="s">
        <v>1816</v>
      </c>
      <c r="C108" s="28" t="s">
        <v>2233</v>
      </c>
      <c r="D108" s="1" t="s">
        <v>1699</v>
      </c>
      <c r="E108" s="1" t="s">
        <v>2345</v>
      </c>
      <c r="F108" s="168">
        <v>50</v>
      </c>
      <c r="G108" s="168">
        <v>50</v>
      </c>
      <c r="H108" s="168">
        <v>4</v>
      </c>
      <c r="I108" s="168">
        <v>1</v>
      </c>
      <c r="J108" s="168"/>
      <c r="K108" s="168">
        <v>3</v>
      </c>
      <c r="L108" s="168"/>
      <c r="M108" s="1"/>
    </row>
    <row r="109" spans="1:13">
      <c r="A109" s="30">
        <v>107</v>
      </c>
      <c r="B109" s="1" t="s">
        <v>1817</v>
      </c>
      <c r="C109" s="28" t="s">
        <v>2233</v>
      </c>
      <c r="D109" s="1" t="s">
        <v>1699</v>
      </c>
      <c r="E109" s="1" t="s">
        <v>2346</v>
      </c>
      <c r="F109" s="168">
        <v>50</v>
      </c>
      <c r="G109" s="168">
        <v>35</v>
      </c>
      <c r="H109" s="168">
        <v>4</v>
      </c>
      <c r="I109" s="168">
        <v>50</v>
      </c>
      <c r="J109" s="168"/>
      <c r="K109" s="168">
        <v>3</v>
      </c>
      <c r="L109" s="168"/>
      <c r="M109" s="1"/>
    </row>
    <row r="110" spans="1:13">
      <c r="A110" s="30">
        <v>108</v>
      </c>
      <c r="B110" s="1" t="s">
        <v>1818</v>
      </c>
      <c r="C110" s="28" t="s">
        <v>2233</v>
      </c>
      <c r="D110" s="1" t="s">
        <v>1699</v>
      </c>
      <c r="E110" s="1" t="s">
        <v>2347</v>
      </c>
      <c r="F110" s="168">
        <v>60</v>
      </c>
      <c r="G110" s="168">
        <v>30</v>
      </c>
      <c r="H110" s="168">
        <v>3</v>
      </c>
      <c r="I110" s="168">
        <v>68</v>
      </c>
      <c r="J110" s="168"/>
      <c r="K110" s="168">
        <v>3</v>
      </c>
      <c r="L110" s="168"/>
      <c r="M110" s="1"/>
    </row>
    <row r="111" spans="1:13">
      <c r="A111" s="30">
        <v>109</v>
      </c>
      <c r="B111" s="1" t="s">
        <v>1819</v>
      </c>
      <c r="C111" s="28" t="s">
        <v>2233</v>
      </c>
      <c r="D111" s="1" t="s">
        <v>1699</v>
      </c>
      <c r="E111" s="1" t="s">
        <v>2348</v>
      </c>
      <c r="F111" s="168">
        <v>60</v>
      </c>
      <c r="G111" s="168">
        <v>35</v>
      </c>
      <c r="H111" s="168">
        <v>3</v>
      </c>
      <c r="I111" s="168">
        <v>34</v>
      </c>
      <c r="J111" s="168"/>
      <c r="K111" s="168">
        <v>3</v>
      </c>
      <c r="L111" s="168"/>
      <c r="M111" s="1"/>
    </row>
    <row r="112" spans="1:13">
      <c r="A112" s="30">
        <v>110</v>
      </c>
      <c r="B112" s="1" t="s">
        <v>1820</v>
      </c>
      <c r="C112" s="28" t="s">
        <v>2233</v>
      </c>
      <c r="D112" s="1" t="s">
        <v>1700</v>
      </c>
      <c r="E112" s="1" t="s">
        <v>2349</v>
      </c>
      <c r="F112" s="168">
        <v>90</v>
      </c>
      <c r="G112" s="168">
        <v>45</v>
      </c>
      <c r="H112" s="168">
        <v>3</v>
      </c>
      <c r="I112" s="168">
        <v>26</v>
      </c>
      <c r="J112" s="168"/>
      <c r="K112" s="168">
        <v>3</v>
      </c>
      <c r="L112" s="168"/>
      <c r="M112" s="1"/>
    </row>
    <row r="113" spans="1:13">
      <c r="A113" s="30">
        <v>111</v>
      </c>
      <c r="B113" s="1" t="s">
        <v>1821</v>
      </c>
      <c r="C113" s="28" t="s">
        <v>2233</v>
      </c>
      <c r="D113" s="1" t="s">
        <v>1700</v>
      </c>
      <c r="E113" s="1" t="s">
        <v>2350</v>
      </c>
      <c r="F113" s="168">
        <v>120</v>
      </c>
      <c r="G113" s="168">
        <v>35</v>
      </c>
      <c r="H113" s="168">
        <v>3</v>
      </c>
      <c r="I113" s="168">
        <v>25</v>
      </c>
      <c r="J113" s="168"/>
      <c r="K113" s="168">
        <v>3</v>
      </c>
      <c r="L113" s="168"/>
      <c r="M113" s="1"/>
    </row>
    <row r="114" spans="1:13">
      <c r="A114" s="30">
        <v>112</v>
      </c>
      <c r="B114" s="1" t="s">
        <v>1822</v>
      </c>
      <c r="C114" s="28" t="s">
        <v>2233</v>
      </c>
      <c r="D114" s="1" t="s">
        <v>1700</v>
      </c>
      <c r="E114" s="1" t="s">
        <v>2351</v>
      </c>
      <c r="F114" s="168">
        <v>150</v>
      </c>
      <c r="G114" s="168">
        <v>35</v>
      </c>
      <c r="H114" s="168">
        <v>3</v>
      </c>
      <c r="I114" s="168">
        <v>22</v>
      </c>
      <c r="J114" s="168"/>
      <c r="K114" s="168">
        <v>3</v>
      </c>
      <c r="L114" s="168"/>
      <c r="M114" s="1"/>
    </row>
    <row r="115" spans="1:13">
      <c r="A115" s="30">
        <v>113</v>
      </c>
      <c r="B115" s="1" t="s">
        <v>1823</v>
      </c>
      <c r="C115" s="28" t="s">
        <v>2233</v>
      </c>
      <c r="D115" s="1" t="s">
        <v>1700</v>
      </c>
      <c r="E115" s="1" t="s">
        <v>2352</v>
      </c>
      <c r="F115" s="168">
        <v>200</v>
      </c>
      <c r="G115" s="168">
        <v>35</v>
      </c>
      <c r="H115" s="168">
        <v>3</v>
      </c>
      <c r="I115" s="168">
        <v>20</v>
      </c>
      <c r="J115" s="168"/>
      <c r="K115" s="168">
        <v>3</v>
      </c>
      <c r="L115" s="168"/>
      <c r="M115" s="1"/>
    </row>
    <row r="116" spans="1:13">
      <c r="A116" s="30">
        <v>114</v>
      </c>
      <c r="B116" s="1" t="s">
        <v>1824</v>
      </c>
      <c r="C116" s="28" t="s">
        <v>2233</v>
      </c>
      <c r="D116" s="1" t="s">
        <v>1700</v>
      </c>
      <c r="E116" s="1" t="s">
        <v>2353</v>
      </c>
      <c r="F116" s="168">
        <v>120</v>
      </c>
      <c r="G116" s="168">
        <v>14.5</v>
      </c>
      <c r="H116" s="168">
        <v>3</v>
      </c>
      <c r="I116" s="168">
        <v>50</v>
      </c>
      <c r="J116" s="168"/>
      <c r="K116" s="168">
        <v>3</v>
      </c>
      <c r="L116" s="168"/>
      <c r="M116" s="1"/>
    </row>
    <row r="117" spans="1:13">
      <c r="A117" s="30">
        <v>115</v>
      </c>
      <c r="B117" s="1" t="s">
        <v>1825</v>
      </c>
      <c r="C117" s="28" t="s">
        <v>2233</v>
      </c>
      <c r="D117" s="1" t="s">
        <v>1700</v>
      </c>
      <c r="E117" s="1" t="s">
        <v>2354</v>
      </c>
      <c r="F117" s="168">
        <v>150</v>
      </c>
      <c r="G117" s="168">
        <v>14.5</v>
      </c>
      <c r="H117" s="168">
        <v>3</v>
      </c>
      <c r="I117" s="168">
        <v>44</v>
      </c>
      <c r="J117" s="168"/>
      <c r="K117" s="168">
        <v>3</v>
      </c>
      <c r="L117" s="168"/>
      <c r="M117" s="1"/>
    </row>
    <row r="118" spans="1:13">
      <c r="A118" s="30">
        <v>116</v>
      </c>
      <c r="B118" s="1" t="s">
        <v>1826</v>
      </c>
      <c r="C118" s="28" t="s">
        <v>2233</v>
      </c>
      <c r="D118" s="1" t="s">
        <v>1700</v>
      </c>
      <c r="E118" s="1" t="s">
        <v>2355</v>
      </c>
      <c r="F118" s="168">
        <v>200</v>
      </c>
      <c r="G118" s="168">
        <v>14.5</v>
      </c>
      <c r="H118" s="168">
        <v>3</v>
      </c>
      <c r="I118" s="168">
        <v>50</v>
      </c>
      <c r="J118" s="168"/>
      <c r="K118" s="168">
        <v>3</v>
      </c>
      <c r="L118" s="168"/>
      <c r="M118" s="1"/>
    </row>
    <row r="119" spans="1:13">
      <c r="A119" s="30">
        <v>117</v>
      </c>
      <c r="B119" s="1" t="s">
        <v>1827</v>
      </c>
      <c r="C119" s="28" t="s">
        <v>2233</v>
      </c>
      <c r="D119" s="1" t="s">
        <v>1701</v>
      </c>
      <c r="E119" s="1" t="s">
        <v>2356</v>
      </c>
      <c r="F119" s="168">
        <v>100</v>
      </c>
      <c r="G119" s="168">
        <v>20</v>
      </c>
      <c r="H119" s="168">
        <v>5</v>
      </c>
      <c r="I119" s="168">
        <v>36</v>
      </c>
      <c r="J119" s="168"/>
      <c r="K119" s="168">
        <v>3</v>
      </c>
      <c r="L119" s="168"/>
      <c r="M119" s="1"/>
    </row>
    <row r="120" spans="1:13">
      <c r="A120" s="30">
        <v>118</v>
      </c>
      <c r="B120" s="1" t="s">
        <v>1828</v>
      </c>
      <c r="C120" s="28" t="s">
        <v>2233</v>
      </c>
      <c r="D120" s="1" t="s">
        <v>1701</v>
      </c>
      <c r="E120" s="1" t="s">
        <v>2357</v>
      </c>
      <c r="F120" s="168">
        <v>20</v>
      </c>
      <c r="G120" s="168">
        <v>35</v>
      </c>
      <c r="H120" s="168">
        <v>15</v>
      </c>
      <c r="I120" s="168">
        <v>40</v>
      </c>
      <c r="J120" s="168"/>
      <c r="K120" s="168">
        <v>3</v>
      </c>
      <c r="L120" s="168"/>
      <c r="M120" s="1"/>
    </row>
    <row r="121" spans="1:13">
      <c r="A121" s="30">
        <v>119</v>
      </c>
      <c r="B121" s="1" t="s">
        <v>1829</v>
      </c>
      <c r="C121" s="28" t="s">
        <v>2235</v>
      </c>
      <c r="D121" s="1" t="s">
        <v>1694</v>
      </c>
      <c r="E121" s="1" t="s">
        <v>2358</v>
      </c>
      <c r="F121" s="168">
        <v>100</v>
      </c>
      <c r="G121" s="168">
        <v>30</v>
      </c>
      <c r="H121" s="168">
        <v>16</v>
      </c>
      <c r="I121" s="168">
        <v>9</v>
      </c>
      <c r="J121" s="168"/>
      <c r="K121" s="168">
        <v>2.7</v>
      </c>
      <c r="L121" s="168"/>
      <c r="M121" s="1"/>
    </row>
    <row r="122" spans="1:13">
      <c r="A122" s="30">
        <v>120</v>
      </c>
      <c r="B122" s="1" t="s">
        <v>1830</v>
      </c>
      <c r="C122" s="28" t="s">
        <v>2235</v>
      </c>
      <c r="D122" s="1" t="s">
        <v>1694</v>
      </c>
      <c r="E122" s="1" t="s">
        <v>2359</v>
      </c>
      <c r="F122" s="168">
        <v>125</v>
      </c>
      <c r="G122" s="168">
        <v>30</v>
      </c>
      <c r="H122" s="168">
        <v>16</v>
      </c>
      <c r="I122" s="168">
        <v>6</v>
      </c>
      <c r="J122" s="168"/>
      <c r="K122" s="168">
        <v>2.7</v>
      </c>
      <c r="L122" s="168"/>
      <c r="M122" s="1"/>
    </row>
    <row r="123" spans="1:13">
      <c r="A123" s="30">
        <v>121</v>
      </c>
      <c r="B123" s="1" t="s">
        <v>1831</v>
      </c>
      <c r="C123" s="28" t="s">
        <v>2235</v>
      </c>
      <c r="D123" s="1" t="s">
        <v>1694</v>
      </c>
      <c r="E123" s="1" t="s">
        <v>2360</v>
      </c>
      <c r="F123" s="168">
        <v>100</v>
      </c>
      <c r="G123" s="168">
        <v>30</v>
      </c>
      <c r="H123" s="168">
        <v>16</v>
      </c>
      <c r="I123" s="168">
        <v>9</v>
      </c>
      <c r="J123" s="168"/>
      <c r="K123" s="168">
        <v>2.7</v>
      </c>
      <c r="L123" s="168"/>
      <c r="M123" s="1"/>
    </row>
    <row r="124" spans="1:13">
      <c r="A124" s="30">
        <v>122</v>
      </c>
      <c r="B124" s="1" t="s">
        <v>1832</v>
      </c>
      <c r="C124" s="28" t="s">
        <v>2235</v>
      </c>
      <c r="D124" s="1" t="s">
        <v>1694</v>
      </c>
      <c r="E124" s="1" t="s">
        <v>2361</v>
      </c>
      <c r="F124" s="168">
        <v>125</v>
      </c>
      <c r="G124" s="168">
        <v>30</v>
      </c>
      <c r="H124" s="168">
        <v>16</v>
      </c>
      <c r="I124" s="168">
        <v>4</v>
      </c>
      <c r="J124" s="168"/>
      <c r="K124" s="168">
        <v>2.7</v>
      </c>
      <c r="L124" s="168"/>
      <c r="M124" s="1"/>
    </row>
    <row r="125" spans="1:13">
      <c r="A125" s="30">
        <v>123</v>
      </c>
      <c r="B125" s="1" t="s">
        <v>1833</v>
      </c>
      <c r="C125" s="28" t="s">
        <v>2235</v>
      </c>
      <c r="D125" s="1" t="s">
        <v>1694</v>
      </c>
      <c r="E125" s="1" t="s">
        <v>2362</v>
      </c>
      <c r="F125" s="168">
        <v>100</v>
      </c>
      <c r="G125" s="168">
        <v>35</v>
      </c>
      <c r="H125" s="168">
        <v>15</v>
      </c>
      <c r="I125" s="168">
        <v>8</v>
      </c>
      <c r="J125" s="168"/>
      <c r="K125" s="168">
        <v>2.7</v>
      </c>
      <c r="L125" s="168"/>
      <c r="M125" s="1"/>
    </row>
    <row r="126" spans="1:13">
      <c r="A126" s="30">
        <v>124</v>
      </c>
      <c r="B126" s="1" t="s">
        <v>1834</v>
      </c>
      <c r="C126" s="28" t="s">
        <v>2235</v>
      </c>
      <c r="D126" s="1" t="s">
        <v>1694</v>
      </c>
      <c r="E126" s="1" t="s">
        <v>2363</v>
      </c>
      <c r="F126" s="168">
        <v>150</v>
      </c>
      <c r="G126" s="168">
        <v>35</v>
      </c>
      <c r="H126" s="168">
        <v>15</v>
      </c>
      <c r="I126" s="168">
        <v>6</v>
      </c>
      <c r="J126" s="168"/>
      <c r="K126" s="168">
        <v>2.7</v>
      </c>
      <c r="L126" s="168"/>
      <c r="M126" s="1"/>
    </row>
    <row r="127" spans="1:13">
      <c r="A127" s="30">
        <v>125</v>
      </c>
      <c r="B127" s="1" t="s">
        <v>1835</v>
      </c>
      <c r="C127" s="28" t="s">
        <v>2235</v>
      </c>
      <c r="D127" s="1" t="s">
        <v>1694</v>
      </c>
      <c r="E127" s="1" t="s">
        <v>2364</v>
      </c>
      <c r="F127" s="168">
        <v>50</v>
      </c>
      <c r="G127" s="168">
        <v>35</v>
      </c>
      <c r="H127" s="168">
        <v>15</v>
      </c>
      <c r="I127" s="168">
        <v>10</v>
      </c>
      <c r="J127" s="168"/>
      <c r="K127" s="168">
        <v>2.7</v>
      </c>
      <c r="L127" s="168"/>
      <c r="M127" s="1"/>
    </row>
    <row r="128" spans="1:13">
      <c r="A128" s="30">
        <v>126</v>
      </c>
      <c r="B128" s="1" t="s">
        <v>1836</v>
      </c>
      <c r="C128" s="28" t="s">
        <v>2235</v>
      </c>
      <c r="D128" s="1" t="s">
        <v>1696</v>
      </c>
      <c r="E128" s="1" t="s">
        <v>2365</v>
      </c>
      <c r="F128" s="168">
        <v>10</v>
      </c>
      <c r="G128" s="168">
        <v>10</v>
      </c>
      <c r="H128" s="168">
        <v>5</v>
      </c>
      <c r="I128" s="168">
        <v>720</v>
      </c>
      <c r="J128" s="168"/>
      <c r="K128" s="168">
        <v>2.7</v>
      </c>
      <c r="L128" s="168"/>
      <c r="M128" s="1"/>
    </row>
    <row r="129" spans="1:13">
      <c r="A129" s="30">
        <v>127</v>
      </c>
      <c r="B129" s="1" t="s">
        <v>1837</v>
      </c>
      <c r="C129" s="28" t="s">
        <v>2235</v>
      </c>
      <c r="D129" s="1" t="s">
        <v>1696</v>
      </c>
      <c r="E129" s="1" t="s">
        <v>2366</v>
      </c>
      <c r="F129" s="168">
        <v>20</v>
      </c>
      <c r="G129" s="168">
        <v>10</v>
      </c>
      <c r="H129" s="168">
        <v>5</v>
      </c>
      <c r="I129" s="168">
        <v>360</v>
      </c>
      <c r="J129" s="168"/>
      <c r="K129" s="168">
        <v>2.7</v>
      </c>
      <c r="L129" s="168"/>
      <c r="M129" s="1"/>
    </row>
    <row r="130" spans="1:13">
      <c r="A130" s="30">
        <v>128</v>
      </c>
      <c r="B130" s="1" t="s">
        <v>1838</v>
      </c>
      <c r="C130" s="28" t="s">
        <v>2235</v>
      </c>
      <c r="D130" s="1" t="s">
        <v>40</v>
      </c>
      <c r="E130" s="1" t="s">
        <v>2854</v>
      </c>
      <c r="F130" s="168">
        <v>40</v>
      </c>
      <c r="G130" s="168">
        <v>29.5</v>
      </c>
      <c r="H130" s="168">
        <v>2</v>
      </c>
      <c r="I130" s="168">
        <v>132</v>
      </c>
      <c r="J130" s="168"/>
      <c r="K130" s="168">
        <v>2.7</v>
      </c>
      <c r="L130" s="168"/>
      <c r="M130" s="1" t="s">
        <v>1702</v>
      </c>
    </row>
    <row r="131" spans="1:13">
      <c r="A131" s="30">
        <v>129</v>
      </c>
      <c r="B131" s="1" t="s">
        <v>1839</v>
      </c>
      <c r="C131" s="28" t="s">
        <v>2235</v>
      </c>
      <c r="D131" s="1" t="s">
        <v>40</v>
      </c>
      <c r="E131" s="1" t="s">
        <v>2855</v>
      </c>
      <c r="F131" s="168">
        <v>31.25</v>
      </c>
      <c r="G131" s="168">
        <v>20</v>
      </c>
      <c r="H131" s="168">
        <v>6</v>
      </c>
      <c r="I131" s="168">
        <v>80</v>
      </c>
      <c r="J131" s="168"/>
      <c r="K131" s="168">
        <v>2.7</v>
      </c>
      <c r="L131" s="168"/>
      <c r="M131" s="1" t="s">
        <v>1703</v>
      </c>
    </row>
    <row r="132" spans="1:13">
      <c r="A132" s="30">
        <v>130</v>
      </c>
      <c r="B132" s="1" t="s">
        <v>1840</v>
      </c>
      <c r="C132" s="28" t="s">
        <v>2235</v>
      </c>
      <c r="D132" s="1" t="s">
        <v>40</v>
      </c>
      <c r="E132" s="1" t="s">
        <v>2856</v>
      </c>
      <c r="F132" s="168">
        <v>40</v>
      </c>
      <c r="G132" s="168">
        <v>29.5</v>
      </c>
      <c r="H132" s="168">
        <v>2.5</v>
      </c>
      <c r="I132" s="168">
        <v>108</v>
      </c>
      <c r="J132" s="168"/>
      <c r="K132" s="168">
        <v>2.7</v>
      </c>
      <c r="L132" s="168"/>
      <c r="M132" s="1" t="s">
        <v>1704</v>
      </c>
    </row>
    <row r="133" spans="1:13">
      <c r="A133" s="30">
        <v>131</v>
      </c>
      <c r="B133" s="1" t="s">
        <v>1841</v>
      </c>
      <c r="C133" s="28" t="s">
        <v>2235</v>
      </c>
      <c r="D133" s="1" t="s">
        <v>40</v>
      </c>
      <c r="E133" s="1" t="s">
        <v>2857</v>
      </c>
      <c r="F133" s="168">
        <v>48</v>
      </c>
      <c r="G133" s="168">
        <v>30</v>
      </c>
      <c r="H133" s="168">
        <v>3</v>
      </c>
      <c r="I133" s="168">
        <v>50</v>
      </c>
      <c r="J133" s="168"/>
      <c r="K133" s="168">
        <v>2.7</v>
      </c>
      <c r="L133" s="168"/>
      <c r="M133" s="1" t="s">
        <v>1705</v>
      </c>
    </row>
    <row r="134" spans="1:13">
      <c r="A134" s="30">
        <v>132</v>
      </c>
      <c r="B134" s="1" t="s">
        <v>1842</v>
      </c>
      <c r="C134" s="28" t="s">
        <v>2235</v>
      </c>
      <c r="D134" s="1" t="s">
        <v>29</v>
      </c>
      <c r="E134" s="1" t="s">
        <v>2367</v>
      </c>
      <c r="F134" s="168">
        <v>60</v>
      </c>
      <c r="G134" s="168">
        <v>30</v>
      </c>
      <c r="H134" s="168">
        <v>5</v>
      </c>
      <c r="I134" s="168">
        <v>40</v>
      </c>
      <c r="J134" s="168"/>
      <c r="K134" s="168">
        <v>2.7</v>
      </c>
      <c r="L134" s="168"/>
      <c r="M134" s="1"/>
    </row>
    <row r="135" spans="1:13">
      <c r="A135" s="30">
        <v>133</v>
      </c>
      <c r="B135" s="1" t="s">
        <v>1843</v>
      </c>
      <c r="C135" s="28" t="s">
        <v>2235</v>
      </c>
      <c r="D135" s="1" t="s">
        <v>29</v>
      </c>
      <c r="E135" s="1" t="s">
        <v>2368</v>
      </c>
      <c r="F135" s="168">
        <v>100</v>
      </c>
      <c r="G135" s="168">
        <v>15</v>
      </c>
      <c r="H135" s="168">
        <v>5</v>
      </c>
      <c r="I135" s="168">
        <v>48</v>
      </c>
      <c r="J135" s="168"/>
      <c r="K135" s="168">
        <v>2.7</v>
      </c>
      <c r="L135" s="168"/>
      <c r="M135" s="1"/>
    </row>
    <row r="136" spans="1:13">
      <c r="A136" s="30">
        <v>134</v>
      </c>
      <c r="B136" s="1" t="s">
        <v>1844</v>
      </c>
      <c r="C136" s="28" t="s">
        <v>2235</v>
      </c>
      <c r="D136" s="1" t="s">
        <v>29</v>
      </c>
      <c r="E136" s="1" t="s">
        <v>2369</v>
      </c>
      <c r="F136" s="168">
        <v>100</v>
      </c>
      <c r="G136" s="168">
        <v>20</v>
      </c>
      <c r="H136" s="168">
        <v>5</v>
      </c>
      <c r="I136" s="168">
        <v>36</v>
      </c>
      <c r="J136" s="168"/>
      <c r="K136" s="168">
        <v>2.7</v>
      </c>
      <c r="L136" s="168"/>
      <c r="M136" s="1"/>
    </row>
    <row r="137" spans="1:13">
      <c r="A137" s="30">
        <v>135</v>
      </c>
      <c r="B137" s="1" t="s">
        <v>1845</v>
      </c>
      <c r="C137" s="28" t="s">
        <v>2235</v>
      </c>
      <c r="D137" s="1" t="s">
        <v>29</v>
      </c>
      <c r="E137" s="1" t="s">
        <v>2370</v>
      </c>
      <c r="F137" s="168">
        <v>100</v>
      </c>
      <c r="G137" s="168">
        <v>25</v>
      </c>
      <c r="H137" s="168">
        <v>10</v>
      </c>
      <c r="I137" s="168">
        <v>16</v>
      </c>
      <c r="J137" s="168"/>
      <c r="K137" s="168">
        <v>2.7</v>
      </c>
      <c r="L137" s="168"/>
      <c r="M137" s="1"/>
    </row>
    <row r="138" spans="1:13">
      <c r="A138" s="30">
        <v>136</v>
      </c>
      <c r="B138" s="1" t="s">
        <v>1846</v>
      </c>
      <c r="C138" s="28" t="s">
        <v>2235</v>
      </c>
      <c r="D138" s="1" t="s">
        <v>29</v>
      </c>
      <c r="E138" s="1" t="s">
        <v>2371</v>
      </c>
      <c r="F138" s="168">
        <v>100</v>
      </c>
      <c r="G138" s="168">
        <v>30</v>
      </c>
      <c r="H138" s="168">
        <v>5</v>
      </c>
      <c r="I138" s="168">
        <v>24</v>
      </c>
      <c r="J138" s="168"/>
      <c r="K138" s="168">
        <v>2.7</v>
      </c>
      <c r="L138" s="168"/>
      <c r="M138" s="1"/>
    </row>
    <row r="139" spans="1:13">
      <c r="A139" s="30">
        <v>137</v>
      </c>
      <c r="B139" s="1" t="s">
        <v>1847</v>
      </c>
      <c r="C139" s="28" t="s">
        <v>2235</v>
      </c>
      <c r="D139" s="1" t="s">
        <v>29</v>
      </c>
      <c r="E139" s="1" t="s">
        <v>2372</v>
      </c>
      <c r="F139" s="168">
        <v>100</v>
      </c>
      <c r="G139" s="168">
        <v>35</v>
      </c>
      <c r="H139" s="168">
        <v>5</v>
      </c>
      <c r="I139" s="168">
        <v>20</v>
      </c>
      <c r="J139" s="168"/>
      <c r="K139" s="168">
        <v>2.7</v>
      </c>
      <c r="L139" s="168"/>
      <c r="M139" s="1"/>
    </row>
    <row r="140" spans="1:13">
      <c r="A140" s="30">
        <v>138</v>
      </c>
      <c r="B140" s="1" t="s">
        <v>1848</v>
      </c>
      <c r="C140" s="28" t="s">
        <v>2235</v>
      </c>
      <c r="D140" s="1" t="s">
        <v>29</v>
      </c>
      <c r="E140" s="1" t="s">
        <v>2373</v>
      </c>
      <c r="F140" s="168">
        <v>125</v>
      </c>
      <c r="G140" s="168">
        <v>25</v>
      </c>
      <c r="H140" s="168">
        <v>10</v>
      </c>
      <c r="I140" s="168">
        <v>14</v>
      </c>
      <c r="J140" s="168"/>
      <c r="K140" s="168">
        <v>2.7</v>
      </c>
      <c r="L140" s="168"/>
      <c r="M140" s="1"/>
    </row>
    <row r="141" spans="1:13">
      <c r="A141" s="30">
        <v>139</v>
      </c>
      <c r="B141" s="1" t="s">
        <v>1849</v>
      </c>
      <c r="C141" s="28" t="s">
        <v>2235</v>
      </c>
      <c r="D141" s="1" t="s">
        <v>29</v>
      </c>
      <c r="E141" s="1" t="s">
        <v>2374</v>
      </c>
      <c r="F141" s="168">
        <v>50</v>
      </c>
      <c r="G141" s="168">
        <v>25</v>
      </c>
      <c r="H141" s="168">
        <v>10</v>
      </c>
      <c r="I141" s="168">
        <v>32</v>
      </c>
      <c r="J141" s="168"/>
      <c r="K141" s="168">
        <v>2.7</v>
      </c>
      <c r="L141" s="168"/>
      <c r="M141" s="1"/>
    </row>
    <row r="142" spans="1:13">
      <c r="A142" s="30">
        <v>140</v>
      </c>
      <c r="B142" s="1" t="s">
        <v>1850</v>
      </c>
      <c r="C142" s="28" t="s">
        <v>2235</v>
      </c>
      <c r="D142" s="1" t="s">
        <v>29</v>
      </c>
      <c r="E142" s="1" t="s">
        <v>2375</v>
      </c>
      <c r="F142" s="168">
        <v>75</v>
      </c>
      <c r="G142" s="168">
        <v>25</v>
      </c>
      <c r="H142" s="168">
        <v>10</v>
      </c>
      <c r="I142" s="168">
        <v>20</v>
      </c>
      <c r="J142" s="168"/>
      <c r="K142" s="168">
        <v>2.7</v>
      </c>
      <c r="L142" s="168"/>
      <c r="M142" s="1"/>
    </row>
    <row r="143" spans="1:13">
      <c r="A143" s="30">
        <v>141</v>
      </c>
      <c r="B143" s="1" t="s">
        <v>1851</v>
      </c>
      <c r="C143" s="28" t="s">
        <v>2235</v>
      </c>
      <c r="D143" s="1" t="s">
        <v>29</v>
      </c>
      <c r="E143" s="1" t="s">
        <v>2376</v>
      </c>
      <c r="F143" s="168">
        <v>100</v>
      </c>
      <c r="G143" s="168">
        <v>15</v>
      </c>
      <c r="H143" s="168">
        <v>5</v>
      </c>
      <c r="I143" s="168">
        <v>48</v>
      </c>
      <c r="J143" s="168"/>
      <c r="K143" s="168">
        <v>2.7</v>
      </c>
      <c r="L143" s="168"/>
      <c r="M143" s="1"/>
    </row>
    <row r="144" spans="1:13">
      <c r="A144" s="30">
        <v>142</v>
      </c>
      <c r="B144" s="1" t="s">
        <v>1852</v>
      </c>
      <c r="C144" s="28" t="s">
        <v>2235</v>
      </c>
      <c r="D144" s="1" t="s">
        <v>29</v>
      </c>
      <c r="E144" s="1" t="s">
        <v>2377</v>
      </c>
      <c r="F144" s="168">
        <v>100</v>
      </c>
      <c r="G144" s="168">
        <v>20</v>
      </c>
      <c r="H144" s="168">
        <v>5</v>
      </c>
      <c r="I144" s="168">
        <v>36</v>
      </c>
      <c r="J144" s="168"/>
      <c r="K144" s="168">
        <v>2.7</v>
      </c>
      <c r="L144" s="168"/>
      <c r="M144" s="1"/>
    </row>
    <row r="145" spans="1:13">
      <c r="A145" s="30">
        <v>143</v>
      </c>
      <c r="B145" s="1" t="s">
        <v>1853</v>
      </c>
      <c r="C145" s="28" t="s">
        <v>2235</v>
      </c>
      <c r="D145" s="1" t="s">
        <v>29</v>
      </c>
      <c r="E145" s="1" t="s">
        <v>2378</v>
      </c>
      <c r="F145" s="168">
        <v>100</v>
      </c>
      <c r="G145" s="168">
        <v>25</v>
      </c>
      <c r="H145" s="168">
        <v>5</v>
      </c>
      <c r="I145" s="168">
        <v>24</v>
      </c>
      <c r="J145" s="168"/>
      <c r="K145" s="168">
        <v>2.7</v>
      </c>
      <c r="L145" s="168"/>
      <c r="M145" s="1"/>
    </row>
    <row r="146" spans="1:13">
      <c r="A146" s="30">
        <v>144</v>
      </c>
      <c r="B146" s="1" t="s">
        <v>1854</v>
      </c>
      <c r="C146" s="28" t="s">
        <v>2235</v>
      </c>
      <c r="D146" s="1" t="s">
        <v>29</v>
      </c>
      <c r="E146" s="1" t="s">
        <v>2379</v>
      </c>
      <c r="F146" s="168">
        <v>100</v>
      </c>
      <c r="G146" s="168">
        <v>30</v>
      </c>
      <c r="H146" s="168">
        <v>5</v>
      </c>
      <c r="I146" s="168">
        <v>24</v>
      </c>
      <c r="J146" s="168"/>
      <c r="K146" s="168">
        <v>2.7</v>
      </c>
      <c r="L146" s="168"/>
      <c r="M146" s="1"/>
    </row>
    <row r="147" spans="1:13">
      <c r="A147" s="30">
        <v>145</v>
      </c>
      <c r="B147" s="1" t="s">
        <v>1855</v>
      </c>
      <c r="C147" s="28" t="s">
        <v>2235</v>
      </c>
      <c r="D147" s="1" t="s">
        <v>29</v>
      </c>
      <c r="E147" s="1" t="s">
        <v>2380</v>
      </c>
      <c r="F147" s="168">
        <v>50</v>
      </c>
      <c r="G147" s="168">
        <v>25</v>
      </c>
      <c r="H147" s="168">
        <v>8</v>
      </c>
      <c r="I147" s="168">
        <v>40</v>
      </c>
      <c r="J147" s="168"/>
      <c r="K147" s="168">
        <v>2.7</v>
      </c>
      <c r="L147" s="168"/>
      <c r="M147" s="1"/>
    </row>
    <row r="148" spans="1:13">
      <c r="A148" s="30">
        <v>146</v>
      </c>
      <c r="B148" s="1" t="s">
        <v>1856</v>
      </c>
      <c r="C148" s="28" t="s">
        <v>2235</v>
      </c>
      <c r="D148" s="1" t="s">
        <v>29</v>
      </c>
      <c r="E148" s="1" t="s">
        <v>2381</v>
      </c>
      <c r="F148" s="168">
        <v>75</v>
      </c>
      <c r="G148" s="168">
        <v>25</v>
      </c>
      <c r="H148" s="168">
        <v>8</v>
      </c>
      <c r="I148" s="168">
        <v>24</v>
      </c>
      <c r="J148" s="168"/>
      <c r="K148" s="168">
        <v>2.7</v>
      </c>
      <c r="L148" s="168"/>
      <c r="M148" s="1"/>
    </row>
    <row r="149" spans="1:13">
      <c r="A149" s="30">
        <v>147</v>
      </c>
      <c r="B149" s="1" t="s">
        <v>1857</v>
      </c>
      <c r="C149" s="28" t="s">
        <v>2235</v>
      </c>
      <c r="D149" s="1" t="s">
        <v>29</v>
      </c>
      <c r="E149" s="1" t="s">
        <v>2382</v>
      </c>
      <c r="F149" s="168">
        <v>100</v>
      </c>
      <c r="G149" s="168">
        <v>20</v>
      </c>
      <c r="H149" s="168">
        <v>6</v>
      </c>
      <c r="I149" s="168">
        <v>30</v>
      </c>
      <c r="J149" s="168"/>
      <c r="K149" s="168">
        <v>2.7</v>
      </c>
      <c r="L149" s="168"/>
      <c r="M149" s="1"/>
    </row>
    <row r="150" spans="1:13">
      <c r="A150" s="30">
        <v>148</v>
      </c>
      <c r="B150" s="1" t="s">
        <v>1858</v>
      </c>
      <c r="C150" s="28" t="s">
        <v>2235</v>
      </c>
      <c r="D150" s="1" t="s">
        <v>29</v>
      </c>
      <c r="E150" s="1" t="s">
        <v>2383</v>
      </c>
      <c r="F150" s="168">
        <v>100</v>
      </c>
      <c r="G150" s="168">
        <v>25</v>
      </c>
      <c r="H150" s="168">
        <v>8</v>
      </c>
      <c r="I150" s="168">
        <v>20</v>
      </c>
      <c r="J150" s="168"/>
      <c r="K150" s="168">
        <v>2.7</v>
      </c>
      <c r="L150" s="168"/>
      <c r="M150" s="1"/>
    </row>
    <row r="151" spans="1:13">
      <c r="A151" s="30">
        <v>149</v>
      </c>
      <c r="B151" s="1" t="s">
        <v>1859</v>
      </c>
      <c r="C151" s="28" t="s">
        <v>2235</v>
      </c>
      <c r="D151" s="1" t="s">
        <v>29</v>
      </c>
      <c r="E151" s="1" t="s">
        <v>2384</v>
      </c>
      <c r="F151" s="168">
        <v>125</v>
      </c>
      <c r="G151" s="168">
        <v>25</v>
      </c>
      <c r="H151" s="168">
        <v>8</v>
      </c>
      <c r="I151" s="168">
        <v>16</v>
      </c>
      <c r="J151" s="168"/>
      <c r="K151" s="168">
        <v>2.7</v>
      </c>
      <c r="L151" s="168"/>
      <c r="M151" s="1"/>
    </row>
    <row r="152" spans="1:13">
      <c r="A152" s="30">
        <v>150</v>
      </c>
      <c r="B152" s="1" t="s">
        <v>1860</v>
      </c>
      <c r="C152" s="28" t="s">
        <v>2235</v>
      </c>
      <c r="D152" s="1" t="s">
        <v>29</v>
      </c>
      <c r="E152" s="1" t="s">
        <v>2385</v>
      </c>
      <c r="F152" s="168">
        <v>150</v>
      </c>
      <c r="G152" s="168">
        <v>25</v>
      </c>
      <c r="H152" s="168">
        <v>8</v>
      </c>
      <c r="I152" s="168">
        <v>14</v>
      </c>
      <c r="J152" s="168"/>
      <c r="K152" s="168">
        <v>2.7</v>
      </c>
      <c r="L152" s="168"/>
      <c r="M152" s="1"/>
    </row>
    <row r="153" spans="1:13">
      <c r="A153" s="30">
        <v>151</v>
      </c>
      <c r="B153" s="1" t="s">
        <v>1861</v>
      </c>
      <c r="C153" s="28" t="s">
        <v>2235</v>
      </c>
      <c r="D153" s="1" t="s">
        <v>10</v>
      </c>
      <c r="E153" s="1" t="s">
        <v>2386</v>
      </c>
      <c r="F153" s="168">
        <v>100.1</v>
      </c>
      <c r="G153" s="168">
        <v>28.5</v>
      </c>
      <c r="H153" s="168">
        <v>4</v>
      </c>
      <c r="I153" s="168">
        <v>30</v>
      </c>
      <c r="J153" s="168"/>
      <c r="K153" s="168">
        <v>2.7</v>
      </c>
      <c r="L153" s="168"/>
      <c r="M153" s="1"/>
    </row>
    <row r="154" spans="1:13">
      <c r="A154" s="30">
        <v>152</v>
      </c>
      <c r="B154" s="1" t="s">
        <v>1862</v>
      </c>
      <c r="C154" s="28" t="s">
        <v>2235</v>
      </c>
      <c r="D154" s="1" t="s">
        <v>10</v>
      </c>
      <c r="E154" s="1" t="s">
        <v>2387</v>
      </c>
      <c r="F154" s="168">
        <v>100.6</v>
      </c>
      <c r="G154" s="168">
        <v>28.5</v>
      </c>
      <c r="H154" s="168">
        <v>4</v>
      </c>
      <c r="I154" s="168">
        <v>30</v>
      </c>
      <c r="J154" s="168"/>
      <c r="K154" s="168">
        <v>2.7</v>
      </c>
      <c r="L154" s="168"/>
      <c r="M154" s="1"/>
    </row>
    <row r="155" spans="1:13">
      <c r="A155" s="30">
        <v>153</v>
      </c>
      <c r="B155" s="1" t="s">
        <v>1863</v>
      </c>
      <c r="C155" s="28" t="s">
        <v>2235</v>
      </c>
      <c r="D155" s="1" t="s">
        <v>10</v>
      </c>
      <c r="E155" s="1" t="s">
        <v>2388</v>
      </c>
      <c r="F155" s="168">
        <v>15</v>
      </c>
      <c r="G155" s="168">
        <v>15</v>
      </c>
      <c r="H155" s="168">
        <v>1.2</v>
      </c>
      <c r="I155" s="168">
        <v>50</v>
      </c>
      <c r="J155" s="168"/>
      <c r="K155" s="168">
        <v>2.7</v>
      </c>
      <c r="L155" s="168"/>
      <c r="M155" s="1"/>
    </row>
    <row r="156" spans="1:13">
      <c r="A156" s="30">
        <v>154</v>
      </c>
      <c r="B156" s="1" t="s">
        <v>1864</v>
      </c>
      <c r="C156" s="28" t="s">
        <v>2235</v>
      </c>
      <c r="D156" s="1" t="s">
        <v>10</v>
      </c>
      <c r="E156" s="1" t="s">
        <v>2389</v>
      </c>
      <c r="F156" s="168">
        <v>20</v>
      </c>
      <c r="G156" s="168">
        <v>20</v>
      </c>
      <c r="H156" s="168">
        <v>2</v>
      </c>
      <c r="I156" s="168">
        <v>450</v>
      </c>
      <c r="J156" s="168"/>
      <c r="K156" s="168">
        <v>2.7</v>
      </c>
      <c r="L156" s="168"/>
      <c r="M156" s="1"/>
    </row>
    <row r="157" spans="1:13">
      <c r="A157" s="30">
        <v>155</v>
      </c>
      <c r="B157" s="1" t="s">
        <v>1865</v>
      </c>
      <c r="C157" s="28" t="s">
        <v>2235</v>
      </c>
      <c r="D157" s="1" t="s">
        <v>10</v>
      </c>
      <c r="E157" s="1" t="s">
        <v>2390</v>
      </c>
      <c r="F157" s="168">
        <v>20</v>
      </c>
      <c r="G157" s="168">
        <v>20</v>
      </c>
      <c r="H157" s="168">
        <v>2.5</v>
      </c>
      <c r="I157" s="168">
        <v>360</v>
      </c>
      <c r="J157" s="168"/>
      <c r="K157" s="168">
        <v>2.7</v>
      </c>
      <c r="L157" s="168"/>
      <c r="M157" s="1"/>
    </row>
    <row r="158" spans="1:13">
      <c r="A158" s="30">
        <v>156</v>
      </c>
      <c r="B158" s="1" t="s">
        <v>1866</v>
      </c>
      <c r="C158" s="28" t="s">
        <v>2235</v>
      </c>
      <c r="D158" s="1" t="s">
        <v>10</v>
      </c>
      <c r="E158" s="1" t="s">
        <v>2391</v>
      </c>
      <c r="F158" s="168">
        <v>20</v>
      </c>
      <c r="G158" s="168">
        <v>20</v>
      </c>
      <c r="H158" s="168">
        <v>5</v>
      </c>
      <c r="I158" s="168">
        <v>180</v>
      </c>
      <c r="J158" s="168"/>
      <c r="K158" s="168">
        <v>2.7</v>
      </c>
      <c r="L158" s="168"/>
      <c r="M158" s="1"/>
    </row>
    <row r="159" spans="1:13">
      <c r="A159" s="30">
        <v>157</v>
      </c>
      <c r="B159" s="1" t="s">
        <v>1867</v>
      </c>
      <c r="C159" s="28" t="s">
        <v>2235</v>
      </c>
      <c r="D159" s="1" t="s">
        <v>10</v>
      </c>
      <c r="E159" s="1" t="s">
        <v>2392</v>
      </c>
      <c r="F159" s="168">
        <v>20</v>
      </c>
      <c r="G159" s="168">
        <v>5</v>
      </c>
      <c r="H159" s="168">
        <v>2.5</v>
      </c>
      <c r="I159" s="168">
        <v>1440</v>
      </c>
      <c r="J159" s="168"/>
      <c r="K159" s="168">
        <v>2.7</v>
      </c>
      <c r="L159" s="168"/>
      <c r="M159" s="1"/>
    </row>
    <row r="160" spans="1:13">
      <c r="A160" s="30">
        <v>158</v>
      </c>
      <c r="B160" s="1" t="s">
        <v>1868</v>
      </c>
      <c r="C160" s="28" t="s">
        <v>2235</v>
      </c>
      <c r="D160" s="1" t="s">
        <v>10</v>
      </c>
      <c r="E160" s="1" t="s">
        <v>2393</v>
      </c>
      <c r="F160" s="168">
        <v>20</v>
      </c>
      <c r="G160" s="168">
        <v>5</v>
      </c>
      <c r="H160" s="168">
        <v>5</v>
      </c>
      <c r="I160" s="168">
        <v>720</v>
      </c>
      <c r="J160" s="168"/>
      <c r="K160" s="168">
        <v>2.7</v>
      </c>
      <c r="L160" s="168"/>
      <c r="M160" s="1"/>
    </row>
    <row r="161" spans="1:13">
      <c r="A161" s="30">
        <v>159</v>
      </c>
      <c r="B161" s="1" t="s">
        <v>1869</v>
      </c>
      <c r="C161" s="28" t="s">
        <v>2235</v>
      </c>
      <c r="D161" s="1" t="s">
        <v>10</v>
      </c>
      <c r="E161" s="1" t="s">
        <v>2394</v>
      </c>
      <c r="F161" s="168">
        <v>25</v>
      </c>
      <c r="G161" s="168">
        <v>8</v>
      </c>
      <c r="H161" s="168">
        <v>5</v>
      </c>
      <c r="I161" s="168">
        <v>360</v>
      </c>
      <c r="J161" s="168"/>
      <c r="K161" s="168">
        <v>2.7</v>
      </c>
      <c r="L161" s="168"/>
      <c r="M161" s="1"/>
    </row>
    <row r="162" spans="1:13">
      <c r="A162" s="30">
        <v>160</v>
      </c>
      <c r="B162" s="1" t="s">
        <v>1870</v>
      </c>
      <c r="C162" s="28" t="s">
        <v>2235</v>
      </c>
      <c r="D162" s="1" t="s">
        <v>10</v>
      </c>
      <c r="E162" s="1" t="s">
        <v>2395</v>
      </c>
      <c r="F162" s="168">
        <v>30</v>
      </c>
      <c r="G162" s="168">
        <v>30</v>
      </c>
      <c r="H162" s="168">
        <v>2.5</v>
      </c>
      <c r="I162" s="168">
        <v>160</v>
      </c>
      <c r="J162" s="168"/>
      <c r="K162" s="168">
        <v>2.7</v>
      </c>
      <c r="L162" s="168"/>
      <c r="M162" s="1"/>
    </row>
    <row r="163" spans="1:13">
      <c r="A163" s="30">
        <v>161</v>
      </c>
      <c r="B163" s="1" t="s">
        <v>1871</v>
      </c>
      <c r="C163" s="28" t="s">
        <v>2235</v>
      </c>
      <c r="D163" s="1" t="s">
        <v>10</v>
      </c>
      <c r="E163" s="1" t="s">
        <v>2396</v>
      </c>
      <c r="F163" s="168">
        <v>40</v>
      </c>
      <c r="G163" s="168">
        <v>40</v>
      </c>
      <c r="H163" s="168">
        <v>2.5</v>
      </c>
      <c r="I163" s="168">
        <v>80</v>
      </c>
      <c r="J163" s="168"/>
      <c r="K163" s="168">
        <v>2.7</v>
      </c>
      <c r="L163" s="168"/>
      <c r="M163" s="1"/>
    </row>
    <row r="164" spans="1:13">
      <c r="A164" s="30">
        <v>162</v>
      </c>
      <c r="B164" s="1" t="s">
        <v>1872</v>
      </c>
      <c r="C164" s="28" t="s">
        <v>2235</v>
      </c>
      <c r="D164" s="1" t="s">
        <v>10</v>
      </c>
      <c r="E164" s="1" t="s">
        <v>2397</v>
      </c>
      <c r="F164" s="168">
        <v>50.3</v>
      </c>
      <c r="G164" s="168">
        <v>28.5</v>
      </c>
      <c r="H164" s="168">
        <v>4</v>
      </c>
      <c r="I164" s="168">
        <v>30</v>
      </c>
      <c r="J164" s="168"/>
      <c r="K164" s="168">
        <v>2.7</v>
      </c>
      <c r="L164" s="168"/>
      <c r="M164" s="1"/>
    </row>
    <row r="165" spans="1:13">
      <c r="A165" s="30">
        <v>163</v>
      </c>
      <c r="B165" s="1" t="s">
        <v>1873</v>
      </c>
      <c r="C165" s="28" t="s">
        <v>2235</v>
      </c>
      <c r="D165" s="1" t="s">
        <v>10</v>
      </c>
      <c r="E165" s="1" t="s">
        <v>2398</v>
      </c>
      <c r="F165" s="168">
        <v>50</v>
      </c>
      <c r="G165" s="168">
        <v>50</v>
      </c>
      <c r="H165" s="168">
        <v>2.5</v>
      </c>
      <c r="I165" s="168">
        <v>40</v>
      </c>
      <c r="J165" s="168"/>
      <c r="K165" s="168">
        <v>2.7</v>
      </c>
      <c r="L165" s="168"/>
      <c r="M165" s="1"/>
    </row>
    <row r="166" spans="1:13">
      <c r="A166" s="30">
        <v>164</v>
      </c>
      <c r="B166" s="1" t="s">
        <v>1874</v>
      </c>
      <c r="C166" s="28" t="s">
        <v>2235</v>
      </c>
      <c r="D166" s="1" t="s">
        <v>10</v>
      </c>
      <c r="E166" s="1" t="s">
        <v>2399</v>
      </c>
      <c r="F166" s="168">
        <v>60</v>
      </c>
      <c r="G166" s="168">
        <v>30</v>
      </c>
      <c r="H166" s="168">
        <v>2</v>
      </c>
      <c r="I166" s="168">
        <v>100</v>
      </c>
      <c r="J166" s="168"/>
      <c r="K166" s="168">
        <v>2.7</v>
      </c>
      <c r="L166" s="168"/>
      <c r="M166" s="1"/>
    </row>
    <row r="167" spans="1:13">
      <c r="A167" s="30">
        <v>165</v>
      </c>
      <c r="B167" s="1" t="s">
        <v>1875</v>
      </c>
      <c r="C167" s="28" t="s">
        <v>2235</v>
      </c>
      <c r="D167" s="1" t="s">
        <v>10</v>
      </c>
      <c r="E167" s="1" t="s">
        <v>2400</v>
      </c>
      <c r="F167" s="168">
        <v>60</v>
      </c>
      <c r="G167" s="168">
        <v>30</v>
      </c>
      <c r="H167" s="168">
        <v>3</v>
      </c>
      <c r="I167" s="168">
        <v>33</v>
      </c>
      <c r="J167" s="168"/>
      <c r="K167" s="168">
        <v>2.7</v>
      </c>
      <c r="L167" s="168"/>
      <c r="M167" s="1"/>
    </row>
    <row r="168" spans="1:13">
      <c r="A168" s="30">
        <v>166</v>
      </c>
      <c r="B168" s="1" t="s">
        <v>1876</v>
      </c>
      <c r="C168" s="28" t="s">
        <v>2235</v>
      </c>
      <c r="D168" s="1" t="s">
        <v>10</v>
      </c>
      <c r="E168" s="1" t="s">
        <v>2401</v>
      </c>
      <c r="F168" s="168">
        <v>60</v>
      </c>
      <c r="G168" s="168">
        <v>40</v>
      </c>
      <c r="H168" s="168">
        <v>2</v>
      </c>
      <c r="I168" s="168">
        <v>50</v>
      </c>
      <c r="J168" s="168"/>
      <c r="K168" s="168">
        <v>2.7</v>
      </c>
      <c r="L168" s="168"/>
      <c r="M168" s="1"/>
    </row>
    <row r="169" spans="1:13">
      <c r="A169" s="30">
        <v>167</v>
      </c>
      <c r="B169" s="1" t="s">
        <v>1877</v>
      </c>
      <c r="C169" s="28" t="s">
        <v>2235</v>
      </c>
      <c r="D169" s="1" t="s">
        <v>10</v>
      </c>
      <c r="E169" s="1" t="s">
        <v>2402</v>
      </c>
      <c r="F169" s="168">
        <v>60</v>
      </c>
      <c r="G169" s="168">
        <v>40</v>
      </c>
      <c r="H169" s="168">
        <v>2.5</v>
      </c>
      <c r="I169" s="168">
        <v>40</v>
      </c>
      <c r="J169" s="168"/>
      <c r="K169" s="168">
        <v>2.7</v>
      </c>
      <c r="L169" s="168"/>
      <c r="M169" s="1"/>
    </row>
    <row r="170" spans="1:13">
      <c r="A170" s="30">
        <v>168</v>
      </c>
      <c r="B170" s="1" t="s">
        <v>1878</v>
      </c>
      <c r="C170" s="28" t="s">
        <v>2235</v>
      </c>
      <c r="D170" s="1" t="s">
        <v>10</v>
      </c>
      <c r="E170" s="1" t="s">
        <v>2403</v>
      </c>
      <c r="F170" s="168">
        <v>60</v>
      </c>
      <c r="G170" s="168">
        <v>40</v>
      </c>
      <c r="H170" s="168">
        <v>3</v>
      </c>
      <c r="I170" s="168">
        <v>33</v>
      </c>
      <c r="J170" s="168"/>
      <c r="K170" s="168">
        <v>2.7</v>
      </c>
      <c r="L170" s="168"/>
      <c r="M170" s="1"/>
    </row>
    <row r="171" spans="1:13">
      <c r="A171" s="30">
        <v>169</v>
      </c>
      <c r="B171" s="1" t="s">
        <v>1879</v>
      </c>
      <c r="C171" s="28" t="s">
        <v>2235</v>
      </c>
      <c r="D171" s="1" t="s">
        <v>10</v>
      </c>
      <c r="E171" s="1" t="s">
        <v>2404</v>
      </c>
      <c r="F171" s="168">
        <v>60</v>
      </c>
      <c r="G171" s="168">
        <v>60</v>
      </c>
      <c r="H171" s="168">
        <v>2</v>
      </c>
      <c r="I171" s="168">
        <v>50</v>
      </c>
      <c r="J171" s="168"/>
      <c r="K171" s="168">
        <v>2.7</v>
      </c>
      <c r="L171" s="168"/>
      <c r="M171" s="1"/>
    </row>
    <row r="172" spans="1:13">
      <c r="A172" s="30">
        <v>170</v>
      </c>
      <c r="B172" s="1" t="s">
        <v>1880</v>
      </c>
      <c r="C172" s="28" t="s">
        <v>2235</v>
      </c>
      <c r="D172" s="1" t="s">
        <v>10</v>
      </c>
      <c r="E172" s="1" t="s">
        <v>2405</v>
      </c>
      <c r="F172" s="168">
        <v>60</v>
      </c>
      <c r="G172" s="168">
        <v>60</v>
      </c>
      <c r="H172" s="168">
        <v>2.5</v>
      </c>
      <c r="I172" s="168">
        <v>40</v>
      </c>
      <c r="J172" s="168"/>
      <c r="K172" s="168">
        <v>2.7</v>
      </c>
      <c r="L172" s="168"/>
      <c r="M172" s="1"/>
    </row>
    <row r="173" spans="1:13">
      <c r="A173" s="30">
        <v>171</v>
      </c>
      <c r="B173" s="1" t="s">
        <v>1881</v>
      </c>
      <c r="C173" s="28" t="s">
        <v>2235</v>
      </c>
      <c r="D173" s="1" t="s">
        <v>10</v>
      </c>
      <c r="E173" s="1" t="s">
        <v>2406</v>
      </c>
      <c r="F173" s="168">
        <v>62.5</v>
      </c>
      <c r="G173" s="168">
        <v>7.5</v>
      </c>
      <c r="H173" s="168">
        <v>2</v>
      </c>
      <c r="I173" s="168">
        <v>30</v>
      </c>
      <c r="J173" s="168"/>
      <c r="K173" s="168">
        <v>2.7</v>
      </c>
      <c r="L173" s="168"/>
      <c r="M173" s="1"/>
    </row>
    <row r="174" spans="1:13">
      <c r="A174" s="30">
        <v>172</v>
      </c>
      <c r="B174" s="1" t="s">
        <v>1882</v>
      </c>
      <c r="C174" s="28" t="s">
        <v>2235</v>
      </c>
      <c r="D174" s="1" t="s">
        <v>10</v>
      </c>
      <c r="E174" s="1" t="s">
        <v>2407</v>
      </c>
      <c r="F174" s="168">
        <v>72.8</v>
      </c>
      <c r="G174" s="168">
        <v>28.5</v>
      </c>
      <c r="H174" s="168">
        <v>4</v>
      </c>
      <c r="I174" s="168">
        <v>30</v>
      </c>
      <c r="J174" s="168"/>
      <c r="K174" s="168">
        <v>2.7</v>
      </c>
      <c r="L174" s="168"/>
      <c r="M174" s="1"/>
    </row>
    <row r="175" spans="1:13">
      <c r="A175" s="30">
        <v>173</v>
      </c>
      <c r="B175" s="1" t="s">
        <v>1883</v>
      </c>
      <c r="C175" s="28" t="s">
        <v>2235</v>
      </c>
      <c r="D175" s="1" t="s">
        <v>10</v>
      </c>
      <c r="E175" s="1" t="s">
        <v>2408</v>
      </c>
      <c r="F175" s="168">
        <v>75.400000000000006</v>
      </c>
      <c r="G175" s="168">
        <v>28.5</v>
      </c>
      <c r="H175" s="168">
        <v>4</v>
      </c>
      <c r="I175" s="168">
        <v>30</v>
      </c>
      <c r="J175" s="168"/>
      <c r="K175" s="168">
        <v>2.7</v>
      </c>
      <c r="L175" s="168"/>
      <c r="M175" s="1"/>
    </row>
    <row r="176" spans="1:13">
      <c r="A176" s="30">
        <v>174</v>
      </c>
      <c r="B176" s="1" t="s">
        <v>1884</v>
      </c>
      <c r="C176" s="28" t="s">
        <v>2235</v>
      </c>
      <c r="D176" s="1" t="s">
        <v>10</v>
      </c>
      <c r="E176" s="1" t="s">
        <v>2409</v>
      </c>
      <c r="F176" s="168">
        <v>80</v>
      </c>
      <c r="G176" s="168">
        <v>40</v>
      </c>
      <c r="H176" s="168">
        <v>3</v>
      </c>
      <c r="I176" s="168">
        <v>34</v>
      </c>
      <c r="J176" s="168"/>
      <c r="K176" s="168">
        <v>2.7</v>
      </c>
      <c r="L176" s="168"/>
      <c r="M176" s="1"/>
    </row>
    <row r="177" spans="1:13">
      <c r="A177" s="30">
        <v>175</v>
      </c>
      <c r="B177" s="1" t="s">
        <v>1885</v>
      </c>
      <c r="C177" s="28" t="s">
        <v>2235</v>
      </c>
      <c r="D177" s="1" t="s">
        <v>10</v>
      </c>
      <c r="E177" s="1" t="s">
        <v>2410</v>
      </c>
      <c r="F177" s="168">
        <v>88.5</v>
      </c>
      <c r="G177" s="168">
        <v>28.5</v>
      </c>
      <c r="H177" s="168">
        <v>4</v>
      </c>
      <c r="I177" s="168">
        <v>30</v>
      </c>
      <c r="J177" s="168"/>
      <c r="K177" s="168">
        <v>2.7</v>
      </c>
      <c r="L177" s="168"/>
      <c r="M177" s="1"/>
    </row>
    <row r="178" spans="1:13">
      <c r="A178" s="30">
        <v>176</v>
      </c>
      <c r="B178" s="1" t="s">
        <v>1886</v>
      </c>
      <c r="C178" s="28" t="s">
        <v>2235</v>
      </c>
      <c r="D178" s="1" t="s">
        <v>10</v>
      </c>
      <c r="E178" s="1" t="s">
        <v>2411</v>
      </c>
      <c r="F178" s="168">
        <v>90</v>
      </c>
      <c r="G178" s="168">
        <v>60</v>
      </c>
      <c r="H178" s="168">
        <v>2.5</v>
      </c>
      <c r="I178" s="168">
        <v>25</v>
      </c>
      <c r="J178" s="168"/>
      <c r="K178" s="168">
        <v>2.7</v>
      </c>
      <c r="L178" s="168"/>
      <c r="M178" s="1"/>
    </row>
    <row r="179" spans="1:13">
      <c r="A179" s="30">
        <v>177</v>
      </c>
      <c r="B179" s="1" t="s">
        <v>1887</v>
      </c>
      <c r="C179" s="28" t="s">
        <v>2235</v>
      </c>
      <c r="D179" s="1" t="s">
        <v>10</v>
      </c>
      <c r="E179" s="1" t="s">
        <v>2412</v>
      </c>
      <c r="F179" s="168">
        <v>90</v>
      </c>
      <c r="G179" s="168">
        <v>60</v>
      </c>
      <c r="H179" s="168">
        <v>3</v>
      </c>
      <c r="I179" s="168">
        <v>20</v>
      </c>
      <c r="J179" s="168"/>
      <c r="K179" s="168">
        <v>2.7</v>
      </c>
      <c r="L179" s="168"/>
      <c r="M179" s="1"/>
    </row>
    <row r="180" spans="1:13">
      <c r="A180" s="30">
        <v>178</v>
      </c>
      <c r="B180" s="1" t="s">
        <v>1888</v>
      </c>
      <c r="C180" s="28" t="s">
        <v>2235</v>
      </c>
      <c r="D180" s="1" t="s">
        <v>10</v>
      </c>
      <c r="E180" s="1" t="s">
        <v>2413</v>
      </c>
      <c r="F180" s="168">
        <v>95.3</v>
      </c>
      <c r="G180" s="168">
        <v>28.5</v>
      </c>
      <c r="H180" s="168">
        <v>4</v>
      </c>
      <c r="I180" s="168">
        <v>30</v>
      </c>
      <c r="J180" s="168"/>
      <c r="K180" s="168">
        <v>2.7</v>
      </c>
      <c r="L180" s="168"/>
      <c r="M180" s="1"/>
    </row>
    <row r="181" spans="1:13">
      <c r="A181" s="30">
        <v>179</v>
      </c>
      <c r="B181" s="1" t="s">
        <v>1889</v>
      </c>
      <c r="C181" s="28" t="s">
        <v>2235</v>
      </c>
      <c r="D181" s="1" t="s">
        <v>10</v>
      </c>
      <c r="E181" s="1" t="s">
        <v>2414</v>
      </c>
      <c r="F181" s="168">
        <v>60</v>
      </c>
      <c r="G181" s="168">
        <v>30</v>
      </c>
      <c r="H181" s="168">
        <v>3</v>
      </c>
      <c r="I181" s="168">
        <v>66</v>
      </c>
      <c r="J181" s="168"/>
      <c r="K181" s="168">
        <v>2.7</v>
      </c>
      <c r="L181" s="168"/>
      <c r="M181" s="1"/>
    </row>
    <row r="182" spans="1:13">
      <c r="A182" s="30">
        <v>180</v>
      </c>
      <c r="B182" s="1" t="s">
        <v>1890</v>
      </c>
      <c r="C182" s="28" t="s">
        <v>2235</v>
      </c>
      <c r="D182" s="1" t="s">
        <v>10</v>
      </c>
      <c r="E182" s="1" t="s">
        <v>2415</v>
      </c>
      <c r="F182" s="168">
        <v>60</v>
      </c>
      <c r="G182" s="168">
        <v>40</v>
      </c>
      <c r="H182" s="168">
        <v>3</v>
      </c>
      <c r="I182" s="168">
        <v>33</v>
      </c>
      <c r="J182" s="168"/>
      <c r="K182" s="168">
        <v>2.7</v>
      </c>
      <c r="L182" s="168"/>
      <c r="M182" s="1"/>
    </row>
    <row r="183" spans="1:13">
      <c r="A183" s="30">
        <v>181</v>
      </c>
      <c r="B183" s="1" t="s">
        <v>1891</v>
      </c>
      <c r="C183" s="28" t="s">
        <v>2235</v>
      </c>
      <c r="D183" s="1" t="s">
        <v>10</v>
      </c>
      <c r="E183" s="1" t="s">
        <v>2416</v>
      </c>
      <c r="F183" s="168">
        <v>20</v>
      </c>
      <c r="G183" s="168">
        <v>20</v>
      </c>
      <c r="H183" s="168">
        <v>2</v>
      </c>
      <c r="I183" s="168">
        <v>450</v>
      </c>
      <c r="J183" s="168"/>
      <c r="K183" s="168">
        <v>2.7</v>
      </c>
      <c r="L183" s="168"/>
      <c r="M183" s="1"/>
    </row>
    <row r="184" spans="1:13">
      <c r="A184" s="30">
        <v>182</v>
      </c>
      <c r="B184" s="1" t="s">
        <v>1892</v>
      </c>
      <c r="C184" s="28" t="s">
        <v>2235</v>
      </c>
      <c r="D184" s="1" t="s">
        <v>10</v>
      </c>
      <c r="E184" s="1" t="s">
        <v>2417</v>
      </c>
      <c r="F184" s="168">
        <v>40</v>
      </c>
      <c r="G184" s="168">
        <v>20</v>
      </c>
      <c r="H184" s="168">
        <v>2</v>
      </c>
      <c r="I184" s="168">
        <v>200</v>
      </c>
      <c r="J184" s="168"/>
      <c r="K184" s="168">
        <v>2.7</v>
      </c>
      <c r="L184" s="168"/>
      <c r="M184" s="1"/>
    </row>
    <row r="185" spans="1:13">
      <c r="A185" s="30">
        <v>183</v>
      </c>
      <c r="B185" s="1" t="s">
        <v>1893</v>
      </c>
      <c r="C185" s="28" t="s">
        <v>2235</v>
      </c>
      <c r="D185" s="1" t="s">
        <v>10</v>
      </c>
      <c r="E185" s="1" t="s">
        <v>2418</v>
      </c>
      <c r="F185" s="168">
        <v>40</v>
      </c>
      <c r="G185" s="168">
        <v>40</v>
      </c>
      <c r="H185" s="168">
        <v>2</v>
      </c>
      <c r="I185" s="168">
        <v>100</v>
      </c>
      <c r="J185" s="168"/>
      <c r="K185" s="168">
        <v>2.7</v>
      </c>
      <c r="L185" s="168"/>
      <c r="M185" s="1"/>
    </row>
    <row r="186" spans="1:13">
      <c r="A186" s="30">
        <v>184</v>
      </c>
      <c r="B186" s="1" t="s">
        <v>1894</v>
      </c>
      <c r="C186" s="28" t="s">
        <v>2235</v>
      </c>
      <c r="D186" s="1" t="s">
        <v>10</v>
      </c>
      <c r="E186" s="1" t="s">
        <v>2419</v>
      </c>
      <c r="F186" s="168">
        <v>40</v>
      </c>
      <c r="G186" s="168">
        <v>40</v>
      </c>
      <c r="H186" s="168">
        <v>2.5</v>
      </c>
      <c r="I186" s="168">
        <v>80</v>
      </c>
      <c r="J186" s="168"/>
      <c r="K186" s="168">
        <v>2.7</v>
      </c>
      <c r="L186" s="168"/>
      <c r="M186" s="1"/>
    </row>
    <row r="187" spans="1:13">
      <c r="A187" s="30">
        <v>185</v>
      </c>
      <c r="B187" s="1" t="s">
        <v>1895</v>
      </c>
      <c r="C187" s="28" t="s">
        <v>2235</v>
      </c>
      <c r="D187" s="1" t="s">
        <v>10</v>
      </c>
      <c r="E187" s="1" t="s">
        <v>2420</v>
      </c>
      <c r="F187" s="168">
        <v>50</v>
      </c>
      <c r="G187" s="168">
        <v>50</v>
      </c>
      <c r="H187" s="168">
        <v>2.5</v>
      </c>
      <c r="I187" s="168">
        <v>40</v>
      </c>
      <c r="J187" s="168"/>
      <c r="K187" s="168">
        <v>2.7</v>
      </c>
      <c r="L187" s="168"/>
      <c r="M187" s="1"/>
    </row>
    <row r="188" spans="1:13">
      <c r="A188" s="30">
        <v>186</v>
      </c>
      <c r="B188" s="1" t="s">
        <v>1896</v>
      </c>
      <c r="C188" s="28" t="s">
        <v>2235</v>
      </c>
      <c r="D188" s="1" t="s">
        <v>10</v>
      </c>
      <c r="E188" s="1" t="s">
        <v>2421</v>
      </c>
      <c r="F188" s="168">
        <v>60</v>
      </c>
      <c r="G188" s="168">
        <v>40</v>
      </c>
      <c r="H188" s="168">
        <v>2</v>
      </c>
      <c r="I188" s="168">
        <v>50</v>
      </c>
      <c r="J188" s="168"/>
      <c r="K188" s="168">
        <v>2.7</v>
      </c>
      <c r="L188" s="168"/>
      <c r="M188" s="1"/>
    </row>
    <row r="189" spans="1:13">
      <c r="A189" s="30">
        <v>187</v>
      </c>
      <c r="B189" s="1" t="s">
        <v>1897</v>
      </c>
      <c r="C189" s="28" t="s">
        <v>2235</v>
      </c>
      <c r="D189" s="1" t="s">
        <v>10</v>
      </c>
      <c r="E189" s="1" t="s">
        <v>2422</v>
      </c>
      <c r="F189" s="168">
        <v>60</v>
      </c>
      <c r="G189" s="168">
        <v>40</v>
      </c>
      <c r="H189" s="168">
        <v>2.5</v>
      </c>
      <c r="I189" s="168">
        <v>40</v>
      </c>
      <c r="J189" s="168"/>
      <c r="K189" s="168">
        <v>2.7</v>
      </c>
      <c r="L189" s="168"/>
      <c r="M189" s="1"/>
    </row>
    <row r="190" spans="1:13">
      <c r="A190" s="30">
        <v>188</v>
      </c>
      <c r="B190" s="1" t="s">
        <v>1898</v>
      </c>
      <c r="C190" s="28" t="s">
        <v>2235</v>
      </c>
      <c r="D190" s="1" t="s">
        <v>10</v>
      </c>
      <c r="E190" s="1" t="s">
        <v>2423</v>
      </c>
      <c r="F190" s="168">
        <v>60</v>
      </c>
      <c r="G190" s="168">
        <v>60</v>
      </c>
      <c r="H190" s="168">
        <v>2.5</v>
      </c>
      <c r="I190" s="168">
        <v>40</v>
      </c>
      <c r="J190" s="168"/>
      <c r="K190" s="168">
        <v>2.7</v>
      </c>
      <c r="L190" s="168"/>
      <c r="M190" s="1"/>
    </row>
    <row r="191" spans="1:13">
      <c r="A191" s="30">
        <v>189</v>
      </c>
      <c r="B191" s="1" t="s">
        <v>1899</v>
      </c>
      <c r="C191" s="28" t="s">
        <v>2235</v>
      </c>
      <c r="D191" s="1" t="s">
        <v>10</v>
      </c>
      <c r="E191" s="1" t="s">
        <v>2424</v>
      </c>
      <c r="F191" s="168">
        <v>40</v>
      </c>
      <c r="G191" s="168">
        <v>40</v>
      </c>
      <c r="H191" s="168">
        <v>2</v>
      </c>
      <c r="I191" s="168">
        <v>100</v>
      </c>
      <c r="J191" s="168"/>
      <c r="K191" s="168">
        <v>2.7</v>
      </c>
      <c r="L191" s="168"/>
      <c r="M191" s="1"/>
    </row>
    <row r="192" spans="1:13">
      <c r="A192" s="30">
        <v>190</v>
      </c>
      <c r="B192" s="1" t="s">
        <v>1900</v>
      </c>
      <c r="C192" s="28" t="s">
        <v>2235</v>
      </c>
      <c r="D192" s="1" t="s">
        <v>10</v>
      </c>
      <c r="E192" s="1" t="s">
        <v>2425</v>
      </c>
      <c r="F192" s="168">
        <v>30</v>
      </c>
      <c r="G192" s="168">
        <v>30</v>
      </c>
      <c r="H192" s="168">
        <v>2.5</v>
      </c>
      <c r="I192" s="168">
        <v>160</v>
      </c>
      <c r="J192" s="168"/>
      <c r="K192" s="168">
        <v>2.7</v>
      </c>
      <c r="L192" s="168"/>
      <c r="M192" s="1"/>
    </row>
    <row r="193" spans="1:13">
      <c r="A193" s="30">
        <v>191</v>
      </c>
      <c r="B193" s="1" t="s">
        <v>1901</v>
      </c>
      <c r="C193" s="28" t="s">
        <v>2235</v>
      </c>
      <c r="D193" s="1" t="s">
        <v>10</v>
      </c>
      <c r="E193" s="1" t="s">
        <v>2426</v>
      </c>
      <c r="F193" s="168">
        <v>40</v>
      </c>
      <c r="G193" s="168">
        <v>40</v>
      </c>
      <c r="H193" s="168">
        <v>2.5</v>
      </c>
      <c r="I193" s="168">
        <v>80</v>
      </c>
      <c r="J193" s="168"/>
      <c r="K193" s="168">
        <v>2.7</v>
      </c>
      <c r="L193" s="168"/>
      <c r="M193" s="1"/>
    </row>
    <row r="194" spans="1:13">
      <c r="A194" s="30">
        <v>192</v>
      </c>
      <c r="B194" s="1" t="s">
        <v>1902</v>
      </c>
      <c r="C194" s="28" t="s">
        <v>2235</v>
      </c>
      <c r="D194" s="1" t="s">
        <v>10</v>
      </c>
      <c r="E194" s="1" t="s">
        <v>2427</v>
      </c>
      <c r="F194" s="168">
        <v>40</v>
      </c>
      <c r="G194" s="168">
        <v>40</v>
      </c>
      <c r="H194" s="168">
        <v>2</v>
      </c>
      <c r="I194" s="168">
        <v>100</v>
      </c>
      <c r="J194" s="168"/>
      <c r="K194" s="168">
        <v>2.7</v>
      </c>
      <c r="L194" s="168"/>
      <c r="M194" s="1"/>
    </row>
    <row r="195" spans="1:13">
      <c r="A195" s="30">
        <v>193</v>
      </c>
      <c r="B195" s="1" t="s">
        <v>1903</v>
      </c>
      <c r="C195" s="28" t="s">
        <v>2235</v>
      </c>
      <c r="D195" s="1" t="s">
        <v>10</v>
      </c>
      <c r="E195" s="1" t="s">
        <v>2428</v>
      </c>
      <c r="F195" s="168">
        <v>15</v>
      </c>
      <c r="G195" s="168">
        <v>15</v>
      </c>
      <c r="H195" s="168">
        <v>2</v>
      </c>
      <c r="I195" s="168">
        <v>800</v>
      </c>
      <c r="J195" s="168"/>
      <c r="K195" s="168">
        <v>2.7</v>
      </c>
      <c r="L195" s="168"/>
      <c r="M195" s="1"/>
    </row>
    <row r="196" spans="1:13">
      <c r="A196" s="30">
        <v>194</v>
      </c>
      <c r="B196" s="1" t="s">
        <v>1904</v>
      </c>
      <c r="C196" s="28" t="s">
        <v>2235</v>
      </c>
      <c r="D196" s="1" t="s">
        <v>10</v>
      </c>
      <c r="E196" s="1" t="s">
        <v>2429</v>
      </c>
      <c r="F196" s="168">
        <v>15</v>
      </c>
      <c r="G196" s="168">
        <v>15</v>
      </c>
      <c r="H196" s="168">
        <v>2.5</v>
      </c>
      <c r="I196" s="168">
        <v>640</v>
      </c>
      <c r="J196" s="168"/>
      <c r="K196" s="168">
        <v>2.7</v>
      </c>
      <c r="L196" s="168"/>
      <c r="M196" s="1"/>
    </row>
    <row r="197" spans="1:13">
      <c r="A197" s="30">
        <v>195</v>
      </c>
      <c r="B197" s="1" t="s">
        <v>1905</v>
      </c>
      <c r="C197" s="28" t="s">
        <v>2235</v>
      </c>
      <c r="D197" s="1" t="s">
        <v>10</v>
      </c>
      <c r="E197" s="1" t="s">
        <v>2430</v>
      </c>
      <c r="F197" s="168">
        <v>20</v>
      </c>
      <c r="G197" s="168">
        <v>20</v>
      </c>
      <c r="H197" s="168">
        <v>5</v>
      </c>
      <c r="I197" s="168">
        <v>180</v>
      </c>
      <c r="J197" s="168"/>
      <c r="K197" s="168">
        <v>2.7</v>
      </c>
      <c r="L197" s="168"/>
      <c r="M197" s="1"/>
    </row>
    <row r="198" spans="1:13">
      <c r="A198" s="30">
        <v>196</v>
      </c>
      <c r="B198" s="1" t="s">
        <v>1906</v>
      </c>
      <c r="C198" s="28" t="s">
        <v>2235</v>
      </c>
      <c r="D198" s="1" t="s">
        <v>10</v>
      </c>
      <c r="E198" s="1" t="s">
        <v>2431</v>
      </c>
      <c r="F198" s="168">
        <v>20</v>
      </c>
      <c r="G198" s="168">
        <v>5</v>
      </c>
      <c r="H198" s="168">
        <v>5</v>
      </c>
      <c r="I198" s="168">
        <v>720</v>
      </c>
      <c r="J198" s="168"/>
      <c r="K198" s="168">
        <v>2.7</v>
      </c>
      <c r="L198" s="168"/>
      <c r="M198" s="1"/>
    </row>
    <row r="199" spans="1:13">
      <c r="A199" s="30">
        <v>197</v>
      </c>
      <c r="B199" s="1" t="s">
        <v>1907</v>
      </c>
      <c r="C199" s="28" t="s">
        <v>2235</v>
      </c>
      <c r="D199" s="1" t="s">
        <v>10</v>
      </c>
      <c r="E199" s="1" t="s">
        <v>2432</v>
      </c>
      <c r="F199" s="168">
        <v>24</v>
      </c>
      <c r="G199" s="168">
        <v>8</v>
      </c>
      <c r="H199" s="168">
        <v>5</v>
      </c>
      <c r="I199" s="168">
        <v>360</v>
      </c>
      <c r="J199" s="168"/>
      <c r="K199" s="168">
        <v>2.7</v>
      </c>
      <c r="L199" s="168"/>
      <c r="M199" s="1"/>
    </row>
    <row r="200" spans="1:13">
      <c r="A200" s="30">
        <v>198</v>
      </c>
      <c r="B200" s="1" t="s">
        <v>1908</v>
      </c>
      <c r="C200" s="28" t="s">
        <v>2235</v>
      </c>
      <c r="D200" s="1" t="s">
        <v>10</v>
      </c>
      <c r="E200" s="1" t="s">
        <v>2433</v>
      </c>
      <c r="F200" s="168">
        <v>15</v>
      </c>
      <c r="G200" s="168">
        <v>15</v>
      </c>
      <c r="H200" s="168">
        <v>2</v>
      </c>
      <c r="I200" s="168">
        <v>800</v>
      </c>
      <c r="J200" s="168"/>
      <c r="K200" s="168">
        <v>2.7</v>
      </c>
      <c r="L200" s="168"/>
      <c r="M200" s="1"/>
    </row>
    <row r="201" spans="1:13">
      <c r="A201" s="30">
        <v>199</v>
      </c>
      <c r="B201" s="1" t="s">
        <v>1909</v>
      </c>
      <c r="C201" s="28" t="s">
        <v>2235</v>
      </c>
      <c r="D201" s="1" t="s">
        <v>10</v>
      </c>
      <c r="E201" s="1" t="s">
        <v>2434</v>
      </c>
      <c r="F201" s="168">
        <v>15</v>
      </c>
      <c r="G201" s="168">
        <v>15</v>
      </c>
      <c r="H201" s="168">
        <v>4</v>
      </c>
      <c r="I201" s="168">
        <v>400</v>
      </c>
      <c r="J201" s="168"/>
      <c r="K201" s="168">
        <v>2.7</v>
      </c>
      <c r="L201" s="168"/>
      <c r="M201" s="1"/>
    </row>
    <row r="202" spans="1:13">
      <c r="A202" s="30">
        <v>200</v>
      </c>
      <c r="B202" s="1" t="s">
        <v>1910</v>
      </c>
      <c r="C202" s="28" t="s">
        <v>2235</v>
      </c>
      <c r="D202" s="1" t="s">
        <v>10</v>
      </c>
      <c r="E202" s="1" t="s">
        <v>2435</v>
      </c>
      <c r="F202" s="168">
        <v>15</v>
      </c>
      <c r="G202" s="168">
        <v>15</v>
      </c>
      <c r="H202" s="168">
        <v>5</v>
      </c>
      <c r="I202" s="168">
        <v>320</v>
      </c>
      <c r="J202" s="168"/>
      <c r="K202" s="168">
        <v>2.7</v>
      </c>
      <c r="L202" s="168"/>
      <c r="M202" s="1"/>
    </row>
    <row r="203" spans="1:13">
      <c r="A203" s="30">
        <v>201</v>
      </c>
      <c r="B203" s="1" t="s">
        <v>1911</v>
      </c>
      <c r="C203" s="28" t="s">
        <v>2235</v>
      </c>
      <c r="D203" s="1" t="s">
        <v>10</v>
      </c>
      <c r="E203" s="1" t="s">
        <v>2436</v>
      </c>
      <c r="F203" s="168">
        <v>20</v>
      </c>
      <c r="G203" s="168">
        <v>20</v>
      </c>
      <c r="H203" s="168">
        <v>2.5</v>
      </c>
      <c r="I203" s="168">
        <v>360</v>
      </c>
      <c r="J203" s="168"/>
      <c r="K203" s="168">
        <v>2.7</v>
      </c>
      <c r="L203" s="168"/>
      <c r="M203" s="1"/>
    </row>
    <row r="204" spans="1:13">
      <c r="A204" s="30">
        <v>202</v>
      </c>
      <c r="B204" s="1" t="s">
        <v>1912</v>
      </c>
      <c r="C204" s="28" t="s">
        <v>2235</v>
      </c>
      <c r="D204" s="1" t="s">
        <v>10</v>
      </c>
      <c r="E204" s="1" t="s">
        <v>2437</v>
      </c>
      <c r="F204" s="168">
        <v>20</v>
      </c>
      <c r="G204" s="168">
        <v>5</v>
      </c>
      <c r="H204" s="168">
        <v>5</v>
      </c>
      <c r="I204" s="168">
        <v>684</v>
      </c>
      <c r="J204" s="168"/>
      <c r="K204" s="168">
        <v>2.7</v>
      </c>
      <c r="L204" s="168"/>
      <c r="M204" s="1"/>
    </row>
    <row r="205" spans="1:13">
      <c r="A205" s="30">
        <v>203</v>
      </c>
      <c r="B205" s="1" t="s">
        <v>1913</v>
      </c>
      <c r="C205" s="28" t="s">
        <v>2235</v>
      </c>
      <c r="D205" s="1" t="s">
        <v>37</v>
      </c>
      <c r="E205" s="1" t="s">
        <v>2438</v>
      </c>
      <c r="F205" s="168">
        <v>106.6</v>
      </c>
      <c r="G205" s="168">
        <v>43</v>
      </c>
      <c r="H205" s="168">
        <v>3</v>
      </c>
      <c r="I205" s="168">
        <v>25</v>
      </c>
      <c r="J205" s="168"/>
      <c r="K205" s="168">
        <v>2.7</v>
      </c>
      <c r="L205" s="168"/>
      <c r="M205" s="1"/>
    </row>
    <row r="206" spans="1:13">
      <c r="A206" s="30">
        <v>204</v>
      </c>
      <c r="B206" s="1" t="s">
        <v>1914</v>
      </c>
      <c r="C206" s="28" t="s">
        <v>2235</v>
      </c>
      <c r="D206" s="1" t="s">
        <v>37</v>
      </c>
      <c r="E206" s="1" t="s">
        <v>2439</v>
      </c>
      <c r="F206" s="168">
        <v>109.28</v>
      </c>
      <c r="G206" s="168">
        <v>28</v>
      </c>
      <c r="H206" s="168">
        <v>3</v>
      </c>
      <c r="I206" s="168">
        <v>25</v>
      </c>
      <c r="J206" s="168"/>
      <c r="K206" s="168">
        <v>2.7</v>
      </c>
      <c r="L206" s="168"/>
      <c r="M206" s="1"/>
    </row>
    <row r="207" spans="1:13">
      <c r="A207" s="30">
        <v>205</v>
      </c>
      <c r="B207" s="1" t="s">
        <v>1915</v>
      </c>
      <c r="C207" s="28" t="s">
        <v>2235</v>
      </c>
      <c r="D207" s="1" t="s">
        <v>1699</v>
      </c>
      <c r="E207" s="1" t="s">
        <v>2440</v>
      </c>
      <c r="F207" s="168">
        <v>100</v>
      </c>
      <c r="G207" s="168">
        <v>20</v>
      </c>
      <c r="H207" s="168">
        <v>3</v>
      </c>
      <c r="I207" s="168">
        <v>60</v>
      </c>
      <c r="J207" s="168"/>
      <c r="K207" s="168">
        <v>2.7</v>
      </c>
      <c r="L207" s="168"/>
      <c r="M207" s="1"/>
    </row>
    <row r="208" spans="1:13">
      <c r="A208" s="30">
        <v>206</v>
      </c>
      <c r="B208" s="1" t="s">
        <v>1916</v>
      </c>
      <c r="C208" s="28" t="s">
        <v>2235</v>
      </c>
      <c r="D208" s="1" t="s">
        <v>1699</v>
      </c>
      <c r="E208" s="1" t="s">
        <v>2441</v>
      </c>
      <c r="F208" s="168">
        <v>100</v>
      </c>
      <c r="G208" s="168">
        <v>30</v>
      </c>
      <c r="H208" s="168">
        <v>3</v>
      </c>
      <c r="I208" s="168">
        <v>40</v>
      </c>
      <c r="J208" s="168"/>
      <c r="K208" s="168">
        <v>2.7</v>
      </c>
      <c r="L208" s="168"/>
      <c r="M208" s="1"/>
    </row>
    <row r="209" spans="1:13">
      <c r="A209" s="30">
        <v>207</v>
      </c>
      <c r="B209" s="1" t="s">
        <v>1917</v>
      </c>
      <c r="C209" s="28" t="s">
        <v>2235</v>
      </c>
      <c r="D209" s="1" t="s">
        <v>1699</v>
      </c>
      <c r="E209" s="1" t="s">
        <v>2442</v>
      </c>
      <c r="F209" s="168">
        <v>100</v>
      </c>
      <c r="G209" s="168">
        <v>30</v>
      </c>
      <c r="H209" s="168">
        <v>3</v>
      </c>
      <c r="I209" s="168">
        <v>6</v>
      </c>
      <c r="J209" s="168"/>
      <c r="K209" s="168">
        <v>2.7</v>
      </c>
      <c r="L209" s="168"/>
      <c r="M209" s="1"/>
    </row>
    <row r="210" spans="1:13">
      <c r="A210" s="30">
        <v>208</v>
      </c>
      <c r="B210" s="1" t="s">
        <v>1918</v>
      </c>
      <c r="C210" s="28" t="s">
        <v>2235</v>
      </c>
      <c r="D210" s="1" t="s">
        <v>1699</v>
      </c>
      <c r="E210" s="1" t="s">
        <v>2443</v>
      </c>
      <c r="F210" s="168">
        <v>100</v>
      </c>
      <c r="G210" s="168">
        <v>35</v>
      </c>
      <c r="H210" s="168">
        <v>3</v>
      </c>
      <c r="I210" s="168">
        <v>30</v>
      </c>
      <c r="J210" s="168"/>
      <c r="K210" s="168">
        <v>2.7</v>
      </c>
      <c r="L210" s="168"/>
      <c r="M210" s="1"/>
    </row>
    <row r="211" spans="1:13">
      <c r="A211" s="30">
        <v>209</v>
      </c>
      <c r="B211" s="1" t="s">
        <v>1919</v>
      </c>
      <c r="C211" s="28" t="s">
        <v>2235</v>
      </c>
      <c r="D211" s="1" t="s">
        <v>1699</v>
      </c>
      <c r="E211" s="1" t="s">
        <v>2444</v>
      </c>
      <c r="F211" s="168">
        <v>100</v>
      </c>
      <c r="G211" s="168">
        <v>35</v>
      </c>
      <c r="H211" s="168">
        <v>4</v>
      </c>
      <c r="I211" s="168">
        <v>20</v>
      </c>
      <c r="J211" s="168"/>
      <c r="K211" s="168">
        <v>2.7</v>
      </c>
      <c r="L211" s="168"/>
      <c r="M211" s="1"/>
    </row>
    <row r="212" spans="1:13">
      <c r="A212" s="30">
        <v>210</v>
      </c>
      <c r="B212" s="1" t="s">
        <v>1920</v>
      </c>
      <c r="C212" s="28" t="s">
        <v>2235</v>
      </c>
      <c r="D212" s="1" t="s">
        <v>1699</v>
      </c>
      <c r="E212" s="1" t="s">
        <v>2445</v>
      </c>
      <c r="F212" s="168">
        <v>100</v>
      </c>
      <c r="G212" s="168">
        <v>40</v>
      </c>
      <c r="H212" s="168">
        <v>3</v>
      </c>
      <c r="I212" s="168">
        <v>25</v>
      </c>
      <c r="J212" s="168"/>
      <c r="K212" s="168">
        <v>2.7</v>
      </c>
      <c r="L212" s="168"/>
      <c r="M212" s="1"/>
    </row>
    <row r="213" spans="1:13">
      <c r="A213" s="30">
        <v>211</v>
      </c>
      <c r="B213" s="1" t="s">
        <v>1921</v>
      </c>
      <c r="C213" s="28" t="s">
        <v>2235</v>
      </c>
      <c r="D213" s="1" t="s">
        <v>1699</v>
      </c>
      <c r="E213" s="1" t="s">
        <v>2446</v>
      </c>
      <c r="F213" s="168">
        <v>120</v>
      </c>
      <c r="G213" s="168">
        <v>30</v>
      </c>
      <c r="H213" s="168">
        <v>3</v>
      </c>
      <c r="I213" s="168">
        <v>25</v>
      </c>
      <c r="J213" s="168"/>
      <c r="K213" s="168">
        <v>2.7</v>
      </c>
      <c r="L213" s="168"/>
      <c r="M213" s="1"/>
    </row>
    <row r="214" spans="1:13">
      <c r="A214" s="30">
        <v>212</v>
      </c>
      <c r="B214" s="1" t="s">
        <v>1922</v>
      </c>
      <c r="C214" s="28" t="s">
        <v>2235</v>
      </c>
      <c r="D214" s="1" t="s">
        <v>1699</v>
      </c>
      <c r="E214" s="1" t="s">
        <v>2447</v>
      </c>
      <c r="F214" s="168">
        <v>120</v>
      </c>
      <c r="G214" s="168">
        <v>35</v>
      </c>
      <c r="H214" s="168">
        <v>3</v>
      </c>
      <c r="I214" s="168">
        <v>25</v>
      </c>
      <c r="J214" s="168"/>
      <c r="K214" s="168">
        <v>2.7</v>
      </c>
      <c r="L214" s="168"/>
      <c r="M214" s="1"/>
    </row>
    <row r="215" spans="1:13">
      <c r="A215" s="30">
        <v>213</v>
      </c>
      <c r="B215" s="1" t="s">
        <v>1923</v>
      </c>
      <c r="C215" s="28" t="s">
        <v>2234</v>
      </c>
      <c r="D215" s="1" t="s">
        <v>1694</v>
      </c>
      <c r="E215" s="1" t="s">
        <v>2448</v>
      </c>
      <c r="F215" s="168">
        <v>100</v>
      </c>
      <c r="G215" s="168">
        <v>30</v>
      </c>
      <c r="H215" s="168">
        <v>16</v>
      </c>
      <c r="I215" s="168">
        <v>9</v>
      </c>
      <c r="J215" s="168"/>
      <c r="K215" s="168">
        <v>2.7</v>
      </c>
      <c r="L215" s="168"/>
      <c r="M215" s="1"/>
    </row>
    <row r="216" spans="1:13">
      <c r="A216" s="30">
        <v>214</v>
      </c>
      <c r="B216" s="1" t="s">
        <v>1924</v>
      </c>
      <c r="C216" s="28" t="s">
        <v>2234</v>
      </c>
      <c r="D216" s="1" t="s">
        <v>1694</v>
      </c>
      <c r="E216" s="1" t="s">
        <v>2449</v>
      </c>
      <c r="F216" s="168">
        <v>100</v>
      </c>
      <c r="G216" s="168">
        <v>33</v>
      </c>
      <c r="H216" s="168">
        <v>15</v>
      </c>
      <c r="I216" s="168">
        <v>8</v>
      </c>
      <c r="J216" s="168"/>
      <c r="K216" s="168">
        <v>2.7</v>
      </c>
      <c r="L216" s="168"/>
      <c r="M216" s="1"/>
    </row>
    <row r="217" spans="1:13">
      <c r="A217" s="30">
        <v>215</v>
      </c>
      <c r="B217" s="1" t="s">
        <v>1925</v>
      </c>
      <c r="C217" s="28" t="s">
        <v>2234</v>
      </c>
      <c r="D217" s="1" t="s">
        <v>1694</v>
      </c>
      <c r="E217" s="1" t="s">
        <v>2450</v>
      </c>
      <c r="F217" s="168">
        <v>125</v>
      </c>
      <c r="G217" s="168">
        <v>30</v>
      </c>
      <c r="H217" s="168">
        <v>16</v>
      </c>
      <c r="I217" s="168">
        <v>6</v>
      </c>
      <c r="J217" s="168"/>
      <c r="K217" s="168">
        <v>2.7</v>
      </c>
      <c r="L217" s="168"/>
      <c r="M217" s="1"/>
    </row>
    <row r="218" spans="1:13">
      <c r="A218" s="30">
        <v>216</v>
      </c>
      <c r="B218" s="1" t="s">
        <v>1926</v>
      </c>
      <c r="C218" s="28" t="s">
        <v>2234</v>
      </c>
      <c r="D218" s="1" t="s">
        <v>1694</v>
      </c>
      <c r="E218" s="1" t="s">
        <v>2451</v>
      </c>
      <c r="F218" s="168">
        <v>150</v>
      </c>
      <c r="G218" s="168">
        <v>30</v>
      </c>
      <c r="H218" s="168">
        <v>16</v>
      </c>
      <c r="I218" s="168">
        <v>6</v>
      </c>
      <c r="J218" s="168"/>
      <c r="K218" s="168">
        <v>2.7</v>
      </c>
      <c r="L218" s="168"/>
      <c r="M218" s="1"/>
    </row>
    <row r="219" spans="1:13">
      <c r="A219" s="30">
        <v>217</v>
      </c>
      <c r="B219" s="1" t="s">
        <v>1927</v>
      </c>
      <c r="C219" s="28" t="s">
        <v>2234</v>
      </c>
      <c r="D219" s="1" t="s">
        <v>1694</v>
      </c>
      <c r="E219" s="1" t="s">
        <v>2452</v>
      </c>
      <c r="F219" s="168">
        <v>180</v>
      </c>
      <c r="G219" s="168">
        <v>36</v>
      </c>
      <c r="H219" s="168">
        <v>10</v>
      </c>
      <c r="I219" s="168">
        <v>6</v>
      </c>
      <c r="J219" s="168"/>
      <c r="K219" s="168">
        <v>2.7</v>
      </c>
      <c r="L219" s="168"/>
      <c r="M219" s="1"/>
    </row>
    <row r="220" spans="1:13">
      <c r="A220" s="30">
        <v>218</v>
      </c>
      <c r="B220" s="1" t="s">
        <v>1928</v>
      </c>
      <c r="C220" s="28" t="s">
        <v>2234</v>
      </c>
      <c r="D220" s="1" t="s">
        <v>1694</v>
      </c>
      <c r="E220" s="1" t="s">
        <v>2453</v>
      </c>
      <c r="F220" s="168">
        <v>200</v>
      </c>
      <c r="G220" s="168">
        <v>33</v>
      </c>
      <c r="H220" s="168">
        <v>15</v>
      </c>
      <c r="I220" s="168">
        <v>4</v>
      </c>
      <c r="J220" s="168"/>
      <c r="K220" s="168">
        <v>2.7</v>
      </c>
      <c r="L220" s="168"/>
      <c r="M220" s="1"/>
    </row>
    <row r="221" spans="1:13">
      <c r="A221" s="30">
        <v>219</v>
      </c>
      <c r="B221" s="1" t="s">
        <v>1929</v>
      </c>
      <c r="C221" s="28" t="s">
        <v>2234</v>
      </c>
      <c r="D221" s="1" t="s">
        <v>1695</v>
      </c>
      <c r="E221" s="1" t="s">
        <v>2454</v>
      </c>
      <c r="F221" s="168">
        <v>30</v>
      </c>
      <c r="G221" s="168">
        <v>15</v>
      </c>
      <c r="H221" s="168">
        <v>10</v>
      </c>
      <c r="I221" s="168">
        <v>126</v>
      </c>
      <c r="J221" s="168"/>
      <c r="K221" s="168">
        <v>2.7</v>
      </c>
      <c r="L221" s="168"/>
      <c r="M221" s="1"/>
    </row>
    <row r="222" spans="1:13">
      <c r="A222" s="30">
        <v>220</v>
      </c>
      <c r="B222" s="1" t="s">
        <v>1930</v>
      </c>
      <c r="C222" s="28" t="s">
        <v>2234</v>
      </c>
      <c r="D222" s="1" t="s">
        <v>1696</v>
      </c>
      <c r="E222" s="1" t="s">
        <v>2455</v>
      </c>
      <c r="F222" s="168">
        <v>16</v>
      </c>
      <c r="G222" s="168">
        <v>16</v>
      </c>
      <c r="H222" s="168">
        <v>12</v>
      </c>
      <c r="I222" s="168">
        <v>144</v>
      </c>
      <c r="J222" s="168"/>
      <c r="K222" s="168">
        <v>2.7</v>
      </c>
      <c r="L222" s="168"/>
      <c r="M222" s="1"/>
    </row>
    <row r="223" spans="1:13">
      <c r="A223" s="30">
        <v>221</v>
      </c>
      <c r="B223" s="1" t="s">
        <v>1931</v>
      </c>
      <c r="C223" s="28" t="s">
        <v>2234</v>
      </c>
      <c r="D223" s="1" t="s">
        <v>1696</v>
      </c>
      <c r="E223" s="1" t="s">
        <v>2456</v>
      </c>
      <c r="F223" s="168">
        <v>14</v>
      </c>
      <c r="G223" s="168">
        <v>14</v>
      </c>
      <c r="H223" s="168">
        <v>5</v>
      </c>
      <c r="I223" s="168">
        <v>539</v>
      </c>
      <c r="J223" s="168"/>
      <c r="K223" s="168">
        <v>2.7</v>
      </c>
      <c r="L223" s="168"/>
      <c r="M223" s="1"/>
    </row>
    <row r="224" spans="1:13">
      <c r="A224" s="30">
        <v>222</v>
      </c>
      <c r="B224" s="1" t="s">
        <v>1932</v>
      </c>
      <c r="C224" s="28" t="s">
        <v>2234</v>
      </c>
      <c r="D224" s="1" t="s">
        <v>1696</v>
      </c>
      <c r="E224" s="1" t="s">
        <v>2457</v>
      </c>
      <c r="F224" s="168">
        <v>14</v>
      </c>
      <c r="G224" s="168">
        <v>14</v>
      </c>
      <c r="H224" s="168">
        <v>8</v>
      </c>
      <c r="I224" s="168">
        <v>343</v>
      </c>
      <c r="J224" s="168"/>
      <c r="K224" s="168">
        <v>2.7</v>
      </c>
      <c r="L224" s="168"/>
      <c r="M224" s="1"/>
    </row>
    <row r="225" spans="1:13">
      <c r="A225" s="30">
        <v>223</v>
      </c>
      <c r="B225" s="1" t="s">
        <v>1933</v>
      </c>
      <c r="C225" s="28" t="s">
        <v>2234</v>
      </c>
      <c r="D225" s="1" t="s">
        <v>1696</v>
      </c>
      <c r="E225" s="1" t="s">
        <v>2458</v>
      </c>
      <c r="F225" s="168">
        <v>16</v>
      </c>
      <c r="G225" s="168">
        <v>16</v>
      </c>
      <c r="H225" s="168">
        <v>7</v>
      </c>
      <c r="I225" s="168">
        <v>288</v>
      </c>
      <c r="J225" s="168"/>
      <c r="K225" s="168">
        <v>2.7</v>
      </c>
      <c r="L225" s="168"/>
      <c r="M225" s="1"/>
    </row>
    <row r="226" spans="1:13">
      <c r="A226" s="30">
        <v>224</v>
      </c>
      <c r="B226" s="1" t="s">
        <v>1934</v>
      </c>
      <c r="C226" s="28" t="s">
        <v>2234</v>
      </c>
      <c r="D226" s="1" t="s">
        <v>1696</v>
      </c>
      <c r="E226" s="1" t="s">
        <v>2459</v>
      </c>
      <c r="F226" s="168">
        <v>10</v>
      </c>
      <c r="G226" s="168">
        <v>10</v>
      </c>
      <c r="H226" s="168">
        <v>8</v>
      </c>
      <c r="I226" s="168">
        <v>700</v>
      </c>
      <c r="J226" s="168"/>
      <c r="K226" s="168">
        <v>2.7</v>
      </c>
      <c r="L226" s="168"/>
      <c r="M226" s="1"/>
    </row>
    <row r="227" spans="1:13">
      <c r="A227" s="30">
        <v>225</v>
      </c>
      <c r="B227" s="1" t="s">
        <v>1935</v>
      </c>
      <c r="C227" s="28" t="s">
        <v>2234</v>
      </c>
      <c r="D227" s="1" t="s">
        <v>1696</v>
      </c>
      <c r="E227" s="1" t="s">
        <v>2460</v>
      </c>
      <c r="F227" s="168">
        <v>10</v>
      </c>
      <c r="G227" s="168">
        <v>10</v>
      </c>
      <c r="H227" s="168">
        <v>8.5</v>
      </c>
      <c r="I227" s="168">
        <v>700</v>
      </c>
      <c r="J227" s="168"/>
      <c r="K227" s="168">
        <v>2.7</v>
      </c>
      <c r="L227" s="168"/>
      <c r="M227" s="1"/>
    </row>
    <row r="228" spans="1:13">
      <c r="A228" s="30">
        <v>226</v>
      </c>
      <c r="B228" s="1" t="s">
        <v>1936</v>
      </c>
      <c r="C228" s="28" t="s">
        <v>2234</v>
      </c>
      <c r="D228" s="1" t="s">
        <v>1696</v>
      </c>
      <c r="E228" s="1" t="s">
        <v>2461</v>
      </c>
      <c r="F228" s="168">
        <v>10</v>
      </c>
      <c r="G228" s="168">
        <v>10</v>
      </c>
      <c r="H228" s="168">
        <v>9</v>
      </c>
      <c r="I228" s="168">
        <v>700</v>
      </c>
      <c r="J228" s="168"/>
      <c r="K228" s="168">
        <v>2.7</v>
      </c>
      <c r="L228" s="168"/>
      <c r="M228" s="1"/>
    </row>
    <row r="229" spans="1:13">
      <c r="A229" s="30">
        <v>227</v>
      </c>
      <c r="B229" s="1" t="s">
        <v>1937</v>
      </c>
      <c r="C229" s="28" t="s">
        <v>2234</v>
      </c>
      <c r="D229" s="1" t="s">
        <v>1696</v>
      </c>
      <c r="E229" s="1" t="s">
        <v>2462</v>
      </c>
      <c r="F229" s="168">
        <v>14</v>
      </c>
      <c r="G229" s="168">
        <v>14</v>
      </c>
      <c r="H229" s="168">
        <v>4</v>
      </c>
      <c r="I229" s="168">
        <v>735</v>
      </c>
      <c r="J229" s="168"/>
      <c r="K229" s="168">
        <v>2.7</v>
      </c>
      <c r="L229" s="168"/>
      <c r="M229" s="1"/>
    </row>
    <row r="230" spans="1:13">
      <c r="A230" s="30">
        <v>228</v>
      </c>
      <c r="B230" s="1" t="s">
        <v>1938</v>
      </c>
      <c r="C230" s="28" t="s">
        <v>2234</v>
      </c>
      <c r="D230" s="1" t="s">
        <v>1696</v>
      </c>
      <c r="E230" s="1" t="s">
        <v>2463</v>
      </c>
      <c r="F230" s="168">
        <v>14</v>
      </c>
      <c r="G230" s="168">
        <v>14</v>
      </c>
      <c r="H230" s="168">
        <v>8</v>
      </c>
      <c r="I230" s="168">
        <v>343</v>
      </c>
      <c r="J230" s="168"/>
      <c r="K230" s="168">
        <v>2.7</v>
      </c>
      <c r="L230" s="168"/>
      <c r="M230" s="1"/>
    </row>
    <row r="231" spans="1:13">
      <c r="A231" s="30">
        <v>229</v>
      </c>
      <c r="B231" s="1" t="s">
        <v>1939</v>
      </c>
      <c r="C231" s="28" t="s">
        <v>2234</v>
      </c>
      <c r="D231" s="1" t="s">
        <v>1696</v>
      </c>
      <c r="E231" s="1" t="s">
        <v>2464</v>
      </c>
      <c r="F231" s="168">
        <v>16</v>
      </c>
      <c r="G231" s="168">
        <v>16</v>
      </c>
      <c r="H231" s="168">
        <v>16</v>
      </c>
      <c r="I231" s="168">
        <v>144</v>
      </c>
      <c r="J231" s="168"/>
      <c r="K231" s="168">
        <v>2.7</v>
      </c>
      <c r="L231" s="168"/>
      <c r="M231" s="1"/>
    </row>
    <row r="232" spans="1:13">
      <c r="A232" s="30">
        <v>230</v>
      </c>
      <c r="B232" s="1" t="s">
        <v>1940</v>
      </c>
      <c r="C232" s="28" t="s">
        <v>2234</v>
      </c>
      <c r="D232" s="1" t="s">
        <v>1696</v>
      </c>
      <c r="E232" s="1" t="s">
        <v>2465</v>
      </c>
      <c r="F232" s="168">
        <v>19</v>
      </c>
      <c r="G232" s="168">
        <v>9</v>
      </c>
      <c r="H232" s="168">
        <v>9</v>
      </c>
      <c r="I232" s="168">
        <v>250</v>
      </c>
      <c r="J232" s="168"/>
      <c r="K232" s="168">
        <v>2.7</v>
      </c>
      <c r="L232" s="168"/>
      <c r="M232" s="1"/>
    </row>
    <row r="233" spans="1:13">
      <c r="A233" s="30">
        <v>231</v>
      </c>
      <c r="B233" s="1" t="s">
        <v>1941</v>
      </c>
      <c r="C233" s="28" t="s">
        <v>2234</v>
      </c>
      <c r="D233" s="1" t="s">
        <v>1696</v>
      </c>
      <c r="E233" s="1" t="s">
        <v>2466</v>
      </c>
      <c r="F233" s="168">
        <v>20</v>
      </c>
      <c r="G233" s="168">
        <v>10</v>
      </c>
      <c r="H233" s="168">
        <v>10</v>
      </c>
      <c r="I233" s="168">
        <v>6300</v>
      </c>
      <c r="J233" s="168"/>
      <c r="K233" s="168">
        <v>2.7</v>
      </c>
      <c r="L233" s="168"/>
      <c r="M233" s="1"/>
    </row>
    <row r="234" spans="1:13">
      <c r="A234" s="30">
        <v>232</v>
      </c>
      <c r="B234" s="1" t="s">
        <v>1942</v>
      </c>
      <c r="C234" s="28" t="s">
        <v>2234</v>
      </c>
      <c r="D234" s="1" t="s">
        <v>1696</v>
      </c>
      <c r="E234" s="1" t="s">
        <v>2467</v>
      </c>
      <c r="F234" s="168">
        <v>20</v>
      </c>
      <c r="G234" s="168">
        <v>10</v>
      </c>
      <c r="H234" s="168">
        <v>8.5</v>
      </c>
      <c r="I234" s="168">
        <v>350</v>
      </c>
      <c r="J234" s="168"/>
      <c r="K234" s="168">
        <v>2.7</v>
      </c>
      <c r="L234" s="168"/>
      <c r="M234" s="1"/>
    </row>
    <row r="235" spans="1:13">
      <c r="A235" s="30">
        <v>233</v>
      </c>
      <c r="B235" s="1" t="s">
        <v>1943</v>
      </c>
      <c r="C235" s="28" t="s">
        <v>2234</v>
      </c>
      <c r="D235" s="1" t="s">
        <v>1696</v>
      </c>
      <c r="E235" s="1" t="s">
        <v>2468</v>
      </c>
      <c r="F235" s="168">
        <v>20</v>
      </c>
      <c r="G235" s="168">
        <v>10</v>
      </c>
      <c r="H235" s="168">
        <v>9</v>
      </c>
      <c r="I235" s="168">
        <v>300</v>
      </c>
      <c r="J235" s="168"/>
      <c r="K235" s="168">
        <v>2.7</v>
      </c>
      <c r="L235" s="168"/>
      <c r="M235" s="1"/>
    </row>
    <row r="236" spans="1:13">
      <c r="A236" s="30">
        <v>234</v>
      </c>
      <c r="B236" s="1" t="s">
        <v>1944</v>
      </c>
      <c r="C236" s="28" t="s">
        <v>2234</v>
      </c>
      <c r="D236" s="1" t="s">
        <v>1696</v>
      </c>
      <c r="E236" s="1" t="s">
        <v>2469</v>
      </c>
      <c r="F236" s="168">
        <v>20</v>
      </c>
      <c r="G236" s="168">
        <v>20</v>
      </c>
      <c r="H236" s="168">
        <v>20</v>
      </c>
      <c r="I236" s="168">
        <v>5</v>
      </c>
      <c r="J236" s="168"/>
      <c r="K236" s="168">
        <v>2.7</v>
      </c>
      <c r="L236" s="168"/>
      <c r="M236" s="1"/>
    </row>
    <row r="237" spans="1:13">
      <c r="A237" s="30">
        <v>235</v>
      </c>
      <c r="B237" s="1" t="s">
        <v>1945</v>
      </c>
      <c r="C237" s="28" t="s">
        <v>2234</v>
      </c>
      <c r="D237" s="1" t="s">
        <v>1696</v>
      </c>
      <c r="E237" s="1" t="s">
        <v>2470</v>
      </c>
      <c r="F237" s="168">
        <v>29</v>
      </c>
      <c r="G237" s="168">
        <v>9</v>
      </c>
      <c r="H237" s="168">
        <v>9</v>
      </c>
      <c r="I237" s="168">
        <v>180</v>
      </c>
      <c r="J237" s="168"/>
      <c r="K237" s="168">
        <v>2.7</v>
      </c>
      <c r="L237" s="168"/>
      <c r="M237" s="1"/>
    </row>
    <row r="238" spans="1:13">
      <c r="A238" s="30">
        <v>236</v>
      </c>
      <c r="B238" s="1" t="s">
        <v>1946</v>
      </c>
      <c r="C238" s="28" t="s">
        <v>2234</v>
      </c>
      <c r="D238" s="1" t="s">
        <v>1696</v>
      </c>
      <c r="E238" s="1" t="s">
        <v>2471</v>
      </c>
      <c r="F238" s="168">
        <v>30</v>
      </c>
      <c r="G238" s="168">
        <v>30</v>
      </c>
      <c r="H238" s="168">
        <v>30</v>
      </c>
      <c r="I238" s="168">
        <v>12</v>
      </c>
      <c r="J238" s="168"/>
      <c r="K238" s="168">
        <v>2.7</v>
      </c>
      <c r="L238" s="168"/>
      <c r="M238" s="1"/>
    </row>
    <row r="239" spans="1:13">
      <c r="A239" s="30">
        <v>237</v>
      </c>
      <c r="B239" s="1" t="s">
        <v>1947</v>
      </c>
      <c r="C239" s="28" t="s">
        <v>2234</v>
      </c>
      <c r="D239" s="1" t="s">
        <v>1696</v>
      </c>
      <c r="E239" s="1" t="s">
        <v>2472</v>
      </c>
      <c r="F239" s="168">
        <v>40</v>
      </c>
      <c r="G239" s="168">
        <v>40</v>
      </c>
      <c r="H239" s="168">
        <v>40</v>
      </c>
      <c r="I239" s="168">
        <v>2</v>
      </c>
      <c r="J239" s="168"/>
      <c r="K239" s="168">
        <v>2.7</v>
      </c>
      <c r="L239" s="168"/>
      <c r="M239" s="1"/>
    </row>
    <row r="240" spans="1:13">
      <c r="A240" s="30">
        <v>238</v>
      </c>
      <c r="B240" s="1" t="s">
        <v>1948</v>
      </c>
      <c r="C240" s="28" t="s">
        <v>2234</v>
      </c>
      <c r="D240" s="1" t="s">
        <v>1696</v>
      </c>
      <c r="E240" s="1" t="s">
        <v>2473</v>
      </c>
      <c r="F240" s="168">
        <v>50</v>
      </c>
      <c r="G240" s="168">
        <v>50</v>
      </c>
      <c r="H240" s="168">
        <v>50</v>
      </c>
      <c r="I240" s="168">
        <v>5</v>
      </c>
      <c r="J240" s="168"/>
      <c r="K240" s="168">
        <v>2.7</v>
      </c>
      <c r="L240" s="168"/>
      <c r="M240" s="1"/>
    </row>
    <row r="241" spans="1:13">
      <c r="A241" s="30">
        <v>239</v>
      </c>
      <c r="B241" s="1" t="s">
        <v>1949</v>
      </c>
      <c r="C241" s="28" t="s">
        <v>2234</v>
      </c>
      <c r="D241" s="1" t="s">
        <v>1696</v>
      </c>
      <c r="E241" s="1" t="s">
        <v>2474</v>
      </c>
      <c r="F241" s="168">
        <v>5</v>
      </c>
      <c r="G241" s="168">
        <v>5</v>
      </c>
      <c r="H241" s="168">
        <v>5</v>
      </c>
      <c r="I241" s="168">
        <v>4000</v>
      </c>
      <c r="J241" s="168"/>
      <c r="K241" s="168">
        <v>2.7</v>
      </c>
      <c r="L241" s="168"/>
      <c r="M241" s="1"/>
    </row>
    <row r="242" spans="1:13">
      <c r="A242" s="30">
        <v>240</v>
      </c>
      <c r="B242" s="1" t="s">
        <v>1950</v>
      </c>
      <c r="C242" s="28" t="s">
        <v>2234</v>
      </c>
      <c r="D242" s="1" t="s">
        <v>1696</v>
      </c>
      <c r="E242" s="1" t="s">
        <v>2475</v>
      </c>
      <c r="F242" s="168">
        <v>9</v>
      </c>
      <c r="G242" s="168">
        <v>9</v>
      </c>
      <c r="H242" s="168">
        <v>4.5</v>
      </c>
      <c r="I242" s="168">
        <v>1000</v>
      </c>
      <c r="J242" s="168"/>
      <c r="K242" s="168">
        <v>2.7</v>
      </c>
      <c r="L242" s="168"/>
      <c r="M242" s="1"/>
    </row>
    <row r="243" spans="1:13">
      <c r="A243" s="30">
        <v>241</v>
      </c>
      <c r="B243" s="1" t="s">
        <v>1951</v>
      </c>
      <c r="C243" s="28" t="s">
        <v>2234</v>
      </c>
      <c r="D243" s="1" t="s">
        <v>1696</v>
      </c>
      <c r="E243" s="1" t="s">
        <v>2476</v>
      </c>
      <c r="F243" s="168">
        <v>9</v>
      </c>
      <c r="G243" s="168">
        <v>9</v>
      </c>
      <c r="H243" s="168">
        <v>9</v>
      </c>
      <c r="I243" s="168">
        <v>500</v>
      </c>
      <c r="J243" s="168"/>
      <c r="K243" s="168">
        <v>2.7</v>
      </c>
      <c r="L243" s="168"/>
      <c r="M243" s="1"/>
    </row>
    <row r="244" spans="1:13">
      <c r="A244" s="30">
        <v>242</v>
      </c>
      <c r="B244" s="1" t="s">
        <v>1952</v>
      </c>
      <c r="C244" s="28" t="s">
        <v>2234</v>
      </c>
      <c r="D244" s="1" t="s">
        <v>1696</v>
      </c>
      <c r="E244" s="1" t="s">
        <v>2477</v>
      </c>
      <c r="F244" s="168">
        <v>9</v>
      </c>
      <c r="G244" s="168">
        <v>9</v>
      </c>
      <c r="H244" s="168">
        <v>9</v>
      </c>
      <c r="I244" s="168">
        <v>726</v>
      </c>
      <c r="J244" s="168"/>
      <c r="K244" s="168">
        <v>2.7</v>
      </c>
      <c r="L244" s="168"/>
      <c r="M244" s="1"/>
    </row>
    <row r="245" spans="1:13">
      <c r="A245" s="30">
        <v>243</v>
      </c>
      <c r="B245" s="1" t="s">
        <v>1953</v>
      </c>
      <c r="C245" s="28" t="s">
        <v>2234</v>
      </c>
      <c r="D245" s="1" t="s">
        <v>1696</v>
      </c>
      <c r="E245" s="1" t="s">
        <v>2478</v>
      </c>
      <c r="F245" s="168">
        <v>30</v>
      </c>
      <c r="G245" s="168">
        <v>5</v>
      </c>
      <c r="H245" s="168">
        <v>5</v>
      </c>
      <c r="I245" s="168">
        <v>432</v>
      </c>
      <c r="J245" s="168"/>
      <c r="K245" s="168">
        <v>2.7</v>
      </c>
      <c r="L245" s="168"/>
      <c r="M245" s="1"/>
    </row>
    <row r="246" spans="1:13">
      <c r="A246" s="30">
        <v>244</v>
      </c>
      <c r="B246" s="1" t="s">
        <v>1954</v>
      </c>
      <c r="C246" s="28" t="s">
        <v>2234</v>
      </c>
      <c r="D246" s="1" t="s">
        <v>29</v>
      </c>
      <c r="E246" s="1" t="s">
        <v>2479</v>
      </c>
      <c r="F246" s="168">
        <v>100</v>
      </c>
      <c r="G246" s="168">
        <v>25</v>
      </c>
      <c r="H246" s="168">
        <v>8</v>
      </c>
      <c r="I246" s="168">
        <v>20</v>
      </c>
      <c r="J246" s="168"/>
      <c r="K246" s="168">
        <v>2.7</v>
      </c>
      <c r="L246" s="168"/>
      <c r="M246" s="1"/>
    </row>
    <row r="247" spans="1:13">
      <c r="A247" s="30">
        <v>245</v>
      </c>
      <c r="B247" s="1" t="s">
        <v>1955</v>
      </c>
      <c r="C247" s="28" t="s">
        <v>2234</v>
      </c>
      <c r="D247" s="1" t="s">
        <v>29</v>
      </c>
      <c r="E247" s="1" t="s">
        <v>2480</v>
      </c>
      <c r="F247" s="168">
        <v>125</v>
      </c>
      <c r="G247" s="168">
        <v>25</v>
      </c>
      <c r="H247" s="168">
        <v>8</v>
      </c>
      <c r="I247" s="168">
        <v>18</v>
      </c>
      <c r="J247" s="168"/>
      <c r="K247" s="168">
        <v>2.7</v>
      </c>
      <c r="L247" s="168"/>
      <c r="M247" s="1"/>
    </row>
    <row r="248" spans="1:13">
      <c r="A248" s="30">
        <v>246</v>
      </c>
      <c r="B248" s="1" t="s">
        <v>1956</v>
      </c>
      <c r="C248" s="28" t="s">
        <v>2234</v>
      </c>
      <c r="D248" s="1" t="s">
        <v>29</v>
      </c>
      <c r="E248" s="1" t="s">
        <v>2481</v>
      </c>
      <c r="F248" s="168">
        <v>150</v>
      </c>
      <c r="G248" s="168">
        <v>25</v>
      </c>
      <c r="H248" s="168">
        <v>8</v>
      </c>
      <c r="I248" s="168">
        <v>16</v>
      </c>
      <c r="J248" s="168"/>
      <c r="K248" s="168">
        <v>2.7</v>
      </c>
      <c r="L248" s="168"/>
      <c r="M248" s="1"/>
    </row>
    <row r="249" spans="1:13">
      <c r="A249" s="30">
        <v>247</v>
      </c>
      <c r="B249" s="1" t="s">
        <v>1957</v>
      </c>
      <c r="C249" s="28" t="s">
        <v>2234</v>
      </c>
      <c r="D249" s="1" t="s">
        <v>29</v>
      </c>
      <c r="E249" s="1" t="s">
        <v>2482</v>
      </c>
      <c r="F249" s="168">
        <v>150</v>
      </c>
      <c r="G249" s="168">
        <v>35</v>
      </c>
      <c r="H249" s="168">
        <v>8</v>
      </c>
      <c r="I249" s="168">
        <v>9</v>
      </c>
      <c r="J249" s="168"/>
      <c r="K249" s="168">
        <v>2.7</v>
      </c>
      <c r="L249" s="168"/>
      <c r="M249" s="1"/>
    </row>
    <row r="250" spans="1:13">
      <c r="A250" s="30">
        <v>248</v>
      </c>
      <c r="B250" s="1" t="s">
        <v>1958</v>
      </c>
      <c r="C250" s="28" t="s">
        <v>2234</v>
      </c>
      <c r="D250" s="1" t="s">
        <v>29</v>
      </c>
      <c r="E250" s="1" t="s">
        <v>2483</v>
      </c>
      <c r="F250" s="168">
        <v>150</v>
      </c>
      <c r="G250" s="168">
        <v>9.5</v>
      </c>
      <c r="H250" s="168">
        <v>7</v>
      </c>
      <c r="I250" s="168">
        <v>16</v>
      </c>
      <c r="J250" s="168"/>
      <c r="K250" s="168">
        <v>2.7</v>
      </c>
      <c r="L250" s="168"/>
      <c r="M250" s="1"/>
    </row>
    <row r="251" spans="1:13">
      <c r="A251" s="30">
        <v>249</v>
      </c>
      <c r="B251" s="1" t="s">
        <v>1959</v>
      </c>
      <c r="C251" s="28" t="s">
        <v>2234</v>
      </c>
      <c r="D251" s="1" t="s">
        <v>29</v>
      </c>
      <c r="E251" s="1" t="s">
        <v>2484</v>
      </c>
      <c r="F251" s="168">
        <v>155.5</v>
      </c>
      <c r="G251" s="168">
        <v>13.5</v>
      </c>
      <c r="H251" s="168">
        <v>5</v>
      </c>
      <c r="I251" s="168">
        <v>16</v>
      </c>
      <c r="J251" s="168"/>
      <c r="K251" s="168">
        <v>2.7</v>
      </c>
      <c r="L251" s="168"/>
      <c r="M251" s="1"/>
    </row>
    <row r="252" spans="1:13">
      <c r="A252" s="30">
        <v>250</v>
      </c>
      <c r="B252" s="1" t="s">
        <v>1960</v>
      </c>
      <c r="C252" s="28" t="s">
        <v>2234</v>
      </c>
      <c r="D252" s="1" t="s">
        <v>29</v>
      </c>
      <c r="E252" s="1" t="s">
        <v>2485</v>
      </c>
      <c r="F252" s="168">
        <v>155.5</v>
      </c>
      <c r="G252" s="168">
        <v>35</v>
      </c>
      <c r="H252" s="168">
        <v>4</v>
      </c>
      <c r="I252" s="168">
        <v>16</v>
      </c>
      <c r="J252" s="168"/>
      <c r="K252" s="168">
        <v>2.7</v>
      </c>
      <c r="L252" s="168"/>
      <c r="M252" s="1"/>
    </row>
    <row r="253" spans="1:13">
      <c r="A253" s="30">
        <v>251</v>
      </c>
      <c r="B253" s="1" t="s">
        <v>1961</v>
      </c>
      <c r="C253" s="28" t="s">
        <v>2234</v>
      </c>
      <c r="D253" s="1" t="s">
        <v>29</v>
      </c>
      <c r="E253" s="1" t="s">
        <v>2486</v>
      </c>
      <c r="F253" s="168">
        <v>155</v>
      </c>
      <c r="G253" s="168">
        <v>13.5</v>
      </c>
      <c r="H253" s="168">
        <v>5</v>
      </c>
      <c r="I253" s="168">
        <v>16</v>
      </c>
      <c r="J253" s="168"/>
      <c r="K253" s="168">
        <v>2.7</v>
      </c>
      <c r="L253" s="168"/>
      <c r="M253" s="1"/>
    </row>
    <row r="254" spans="1:13">
      <c r="A254" s="30">
        <v>252</v>
      </c>
      <c r="B254" s="1" t="s">
        <v>1962</v>
      </c>
      <c r="C254" s="28" t="s">
        <v>2234</v>
      </c>
      <c r="D254" s="1" t="s">
        <v>29</v>
      </c>
      <c r="E254" s="1" t="s">
        <v>2487</v>
      </c>
      <c r="F254" s="168">
        <v>155</v>
      </c>
      <c r="G254" s="168">
        <v>35</v>
      </c>
      <c r="H254" s="168">
        <v>4</v>
      </c>
      <c r="I254" s="168">
        <v>16</v>
      </c>
      <c r="J254" s="168"/>
      <c r="K254" s="168">
        <v>2.7</v>
      </c>
      <c r="L254" s="168"/>
      <c r="M254" s="1"/>
    </row>
    <row r="255" spans="1:13">
      <c r="A255" s="30">
        <v>253</v>
      </c>
      <c r="B255" s="1" t="s">
        <v>1963</v>
      </c>
      <c r="C255" s="28" t="s">
        <v>2234</v>
      </c>
      <c r="D255" s="1" t="s">
        <v>29</v>
      </c>
      <c r="E255" s="1" t="s">
        <v>2488</v>
      </c>
      <c r="F255" s="168">
        <v>35</v>
      </c>
      <c r="G255" s="168">
        <v>13.5</v>
      </c>
      <c r="H255" s="168">
        <v>5</v>
      </c>
      <c r="I255" s="168">
        <v>16</v>
      </c>
      <c r="J255" s="168"/>
      <c r="K255" s="168">
        <v>2.7</v>
      </c>
      <c r="L255" s="168"/>
      <c r="M255" s="1"/>
    </row>
    <row r="256" spans="1:13">
      <c r="A256" s="30">
        <v>254</v>
      </c>
      <c r="B256" s="1" t="s">
        <v>1964</v>
      </c>
      <c r="C256" s="28" t="s">
        <v>2234</v>
      </c>
      <c r="D256" s="1" t="s">
        <v>29</v>
      </c>
      <c r="E256" s="1" t="s">
        <v>2489</v>
      </c>
      <c r="F256" s="168">
        <v>75</v>
      </c>
      <c r="G256" s="168">
        <v>25</v>
      </c>
      <c r="H256" s="168">
        <v>8</v>
      </c>
      <c r="I256" s="168">
        <v>28</v>
      </c>
      <c r="J256" s="168"/>
      <c r="K256" s="168">
        <v>2.7</v>
      </c>
      <c r="L256" s="168"/>
      <c r="M256" s="1"/>
    </row>
    <row r="257" spans="1:13">
      <c r="A257" s="30">
        <v>255</v>
      </c>
      <c r="B257" s="1" t="s">
        <v>1965</v>
      </c>
      <c r="C257" s="28" t="s">
        <v>2234</v>
      </c>
      <c r="D257" s="1" t="s">
        <v>29</v>
      </c>
      <c r="E257" s="1" t="s">
        <v>2490</v>
      </c>
      <c r="F257" s="168">
        <v>90</v>
      </c>
      <c r="G257" s="168">
        <v>12</v>
      </c>
      <c r="H257" s="168">
        <v>12</v>
      </c>
      <c r="I257" s="168">
        <v>40</v>
      </c>
      <c r="J257" s="168"/>
      <c r="K257" s="168">
        <v>2.7</v>
      </c>
      <c r="L257" s="168"/>
      <c r="M257" s="1"/>
    </row>
    <row r="258" spans="1:13">
      <c r="A258" s="30">
        <v>256</v>
      </c>
      <c r="B258" s="1" t="s">
        <v>1966</v>
      </c>
      <c r="C258" s="28" t="s">
        <v>2234</v>
      </c>
      <c r="D258" s="1" t="s">
        <v>29</v>
      </c>
      <c r="E258" s="1" t="s">
        <v>2491</v>
      </c>
      <c r="F258" s="168">
        <v>60</v>
      </c>
      <c r="G258" s="168">
        <v>10</v>
      </c>
      <c r="H258" s="168">
        <v>10</v>
      </c>
      <c r="I258" s="168">
        <v>60</v>
      </c>
      <c r="J258" s="168"/>
      <c r="K258" s="168">
        <v>2.7</v>
      </c>
      <c r="L258" s="168"/>
      <c r="M258" s="1"/>
    </row>
    <row r="259" spans="1:13">
      <c r="A259" s="30">
        <v>257</v>
      </c>
      <c r="B259" s="1" t="s">
        <v>1967</v>
      </c>
      <c r="C259" s="28" t="s">
        <v>2234</v>
      </c>
      <c r="D259" s="1" t="s">
        <v>29</v>
      </c>
      <c r="E259" s="1" t="s">
        <v>2492</v>
      </c>
      <c r="F259" s="168">
        <v>100</v>
      </c>
      <c r="G259" s="168">
        <v>25</v>
      </c>
      <c r="H259" s="168">
        <v>8</v>
      </c>
      <c r="I259" s="168">
        <v>28</v>
      </c>
      <c r="J259" s="168"/>
      <c r="K259" s="168">
        <v>2.7</v>
      </c>
      <c r="L259" s="168"/>
      <c r="M259" s="1"/>
    </row>
    <row r="260" spans="1:13">
      <c r="A260" s="30">
        <v>258</v>
      </c>
      <c r="B260" s="1" t="s">
        <v>1968</v>
      </c>
      <c r="C260" s="28" t="s">
        <v>2234</v>
      </c>
      <c r="D260" s="1" t="s">
        <v>29</v>
      </c>
      <c r="E260" s="1" t="s">
        <v>2493</v>
      </c>
      <c r="F260" s="168">
        <v>100</v>
      </c>
      <c r="G260" s="168">
        <v>12</v>
      </c>
      <c r="H260" s="168">
        <v>12</v>
      </c>
      <c r="I260" s="168">
        <v>32</v>
      </c>
      <c r="J260" s="168"/>
      <c r="K260" s="168">
        <v>2.7</v>
      </c>
      <c r="L260" s="168"/>
      <c r="M260" s="1"/>
    </row>
    <row r="261" spans="1:13">
      <c r="A261" s="30">
        <v>259</v>
      </c>
      <c r="B261" s="1" t="s">
        <v>1969</v>
      </c>
      <c r="C261" s="28" t="s">
        <v>2234</v>
      </c>
      <c r="D261" s="1" t="s">
        <v>29</v>
      </c>
      <c r="E261" s="1" t="s">
        <v>2494</v>
      </c>
      <c r="F261" s="168">
        <v>100</v>
      </c>
      <c r="G261" s="168">
        <v>20</v>
      </c>
      <c r="H261" s="168">
        <v>6</v>
      </c>
      <c r="I261" s="168">
        <v>30</v>
      </c>
      <c r="J261" s="168"/>
      <c r="K261" s="168">
        <v>2.7</v>
      </c>
      <c r="L261" s="168"/>
      <c r="M261" s="1"/>
    </row>
    <row r="262" spans="1:13">
      <c r="A262" s="30">
        <v>260</v>
      </c>
      <c r="B262" s="1" t="s">
        <v>1970</v>
      </c>
      <c r="C262" s="28" t="s">
        <v>2234</v>
      </c>
      <c r="D262" s="1" t="s">
        <v>29</v>
      </c>
      <c r="E262" s="1" t="s">
        <v>2495</v>
      </c>
      <c r="F262" s="168">
        <v>100</v>
      </c>
      <c r="G262" s="168">
        <v>20</v>
      </c>
      <c r="H262" s="168">
        <v>7</v>
      </c>
      <c r="I262" s="168">
        <v>30</v>
      </c>
      <c r="J262" s="168"/>
      <c r="K262" s="168">
        <v>2.7</v>
      </c>
      <c r="L262" s="168"/>
      <c r="M262" s="1"/>
    </row>
    <row r="263" spans="1:13">
      <c r="A263" s="30">
        <v>261</v>
      </c>
      <c r="B263" s="1" t="s">
        <v>1971</v>
      </c>
      <c r="C263" s="28" t="s">
        <v>2234</v>
      </c>
      <c r="D263" s="1" t="s">
        <v>29</v>
      </c>
      <c r="E263" s="1" t="s">
        <v>2496</v>
      </c>
      <c r="F263" s="168">
        <v>100</v>
      </c>
      <c r="G263" s="168">
        <v>20</v>
      </c>
      <c r="H263" s="168">
        <v>8</v>
      </c>
      <c r="I263" s="168">
        <v>24</v>
      </c>
      <c r="J263" s="168"/>
      <c r="K263" s="168">
        <v>2.7</v>
      </c>
      <c r="L263" s="168"/>
      <c r="M263" s="1"/>
    </row>
    <row r="264" spans="1:13">
      <c r="A264" s="30">
        <v>262</v>
      </c>
      <c r="B264" s="1" t="s">
        <v>1972</v>
      </c>
      <c r="C264" s="28" t="s">
        <v>2234</v>
      </c>
      <c r="D264" s="1" t="s">
        <v>29</v>
      </c>
      <c r="E264" s="1" t="s">
        <v>2497</v>
      </c>
      <c r="F264" s="168">
        <v>100</v>
      </c>
      <c r="G264" s="168">
        <v>25</v>
      </c>
      <c r="H264" s="168">
        <v>10</v>
      </c>
      <c r="I264" s="168">
        <v>18</v>
      </c>
      <c r="J264" s="168"/>
      <c r="K264" s="168">
        <v>2.7</v>
      </c>
      <c r="L264" s="168"/>
      <c r="M264" s="1"/>
    </row>
    <row r="265" spans="1:13">
      <c r="A265" s="30">
        <v>263</v>
      </c>
      <c r="B265" s="1" t="s">
        <v>1973</v>
      </c>
      <c r="C265" s="28" t="s">
        <v>2234</v>
      </c>
      <c r="D265" s="1" t="s">
        <v>29</v>
      </c>
      <c r="E265" s="1" t="s">
        <v>2498</v>
      </c>
      <c r="F265" s="168">
        <v>100</v>
      </c>
      <c r="G265" s="168">
        <v>25</v>
      </c>
      <c r="H265" s="168">
        <v>25</v>
      </c>
      <c r="I265" s="168">
        <v>4</v>
      </c>
      <c r="J265" s="168"/>
      <c r="K265" s="168">
        <v>2.7</v>
      </c>
      <c r="L265" s="168"/>
      <c r="M265" s="1"/>
    </row>
    <row r="266" spans="1:13">
      <c r="A266" s="30">
        <v>264</v>
      </c>
      <c r="B266" s="1" t="s">
        <v>1974</v>
      </c>
      <c r="C266" s="28" t="s">
        <v>2234</v>
      </c>
      <c r="D266" s="1" t="s">
        <v>29</v>
      </c>
      <c r="E266" s="1" t="s">
        <v>2499</v>
      </c>
      <c r="F266" s="168">
        <v>100</v>
      </c>
      <c r="G266" s="168">
        <v>25</v>
      </c>
      <c r="H266" s="168">
        <v>8</v>
      </c>
      <c r="I266" s="168">
        <v>20</v>
      </c>
      <c r="J266" s="168"/>
      <c r="K266" s="168">
        <v>2.7</v>
      </c>
      <c r="L266" s="168"/>
      <c r="M266" s="1"/>
    </row>
    <row r="267" spans="1:13">
      <c r="A267" s="30">
        <v>265</v>
      </c>
      <c r="B267" s="1" t="s">
        <v>1975</v>
      </c>
      <c r="C267" s="28" t="s">
        <v>2234</v>
      </c>
      <c r="D267" s="1" t="s">
        <v>29</v>
      </c>
      <c r="E267" s="1" t="s">
        <v>2500</v>
      </c>
      <c r="F267" s="168">
        <v>100</v>
      </c>
      <c r="G267" s="168">
        <v>30</v>
      </c>
      <c r="H267" s="168">
        <v>10</v>
      </c>
      <c r="I267" s="168">
        <v>16</v>
      </c>
      <c r="J267" s="168"/>
      <c r="K267" s="168">
        <v>2.7</v>
      </c>
      <c r="L267" s="168"/>
      <c r="M267" s="1"/>
    </row>
    <row r="268" spans="1:13">
      <c r="A268" s="30">
        <v>266</v>
      </c>
      <c r="B268" s="1" t="s">
        <v>1976</v>
      </c>
      <c r="C268" s="28" t="s">
        <v>2234</v>
      </c>
      <c r="D268" s="1" t="s">
        <v>29</v>
      </c>
      <c r="E268" s="1" t="s">
        <v>2501</v>
      </c>
      <c r="F268" s="168">
        <v>150</v>
      </c>
      <c r="G268" s="168">
        <v>12</v>
      </c>
      <c r="H268" s="168">
        <v>12</v>
      </c>
      <c r="I268" s="168">
        <v>24</v>
      </c>
      <c r="J268" s="168"/>
      <c r="K268" s="168">
        <v>2.7</v>
      </c>
      <c r="L268" s="168"/>
      <c r="M268" s="1"/>
    </row>
    <row r="269" spans="1:13">
      <c r="A269" s="30">
        <v>267</v>
      </c>
      <c r="B269" s="1" t="s">
        <v>1977</v>
      </c>
      <c r="C269" s="28" t="s">
        <v>2234</v>
      </c>
      <c r="D269" s="1" t="s">
        <v>29</v>
      </c>
      <c r="E269" s="1" t="s">
        <v>2502</v>
      </c>
      <c r="F269" s="168">
        <v>150</v>
      </c>
      <c r="G269" s="168">
        <v>25</v>
      </c>
      <c r="H269" s="168">
        <v>10</v>
      </c>
      <c r="I269" s="168">
        <v>12</v>
      </c>
      <c r="J269" s="168"/>
      <c r="K269" s="168">
        <v>2.7</v>
      </c>
      <c r="L269" s="168"/>
      <c r="M269" s="1"/>
    </row>
    <row r="270" spans="1:13">
      <c r="A270" s="30">
        <v>268</v>
      </c>
      <c r="B270" s="1" t="s">
        <v>1978</v>
      </c>
      <c r="C270" s="28" t="s">
        <v>2234</v>
      </c>
      <c r="D270" s="1" t="s">
        <v>29</v>
      </c>
      <c r="E270" s="1" t="s">
        <v>2503</v>
      </c>
      <c r="F270" s="168">
        <v>175</v>
      </c>
      <c r="G270" s="168">
        <v>25</v>
      </c>
      <c r="H270" s="168">
        <v>25</v>
      </c>
      <c r="I270" s="168">
        <v>4</v>
      </c>
      <c r="J270" s="168"/>
      <c r="K270" s="168">
        <v>2.7</v>
      </c>
      <c r="L270" s="168"/>
      <c r="M270" s="1"/>
    </row>
    <row r="271" spans="1:13">
      <c r="A271" s="30">
        <v>269</v>
      </c>
      <c r="B271" s="1" t="s">
        <v>1979</v>
      </c>
      <c r="C271" s="28" t="s">
        <v>2234</v>
      </c>
      <c r="D271" s="1" t="s">
        <v>29</v>
      </c>
      <c r="E271" s="1" t="s">
        <v>2504</v>
      </c>
      <c r="F271" s="168">
        <v>190</v>
      </c>
      <c r="G271" s="168">
        <v>35</v>
      </c>
      <c r="H271" s="168">
        <v>35</v>
      </c>
      <c r="I271" s="168">
        <v>2</v>
      </c>
      <c r="J271" s="168"/>
      <c r="K271" s="168">
        <v>2.7</v>
      </c>
      <c r="L271" s="168"/>
      <c r="M271" s="1"/>
    </row>
    <row r="272" spans="1:13">
      <c r="A272" s="30">
        <v>270</v>
      </c>
      <c r="B272" s="1" t="s">
        <v>1980</v>
      </c>
      <c r="C272" s="28" t="s">
        <v>2234</v>
      </c>
      <c r="D272" s="1" t="s">
        <v>29</v>
      </c>
      <c r="E272" s="1" t="s">
        <v>2505</v>
      </c>
      <c r="F272" s="168">
        <v>200</v>
      </c>
      <c r="G272" s="168">
        <v>25</v>
      </c>
      <c r="H272" s="168">
        <v>10</v>
      </c>
      <c r="I272" s="168">
        <v>10</v>
      </c>
      <c r="J272" s="168"/>
      <c r="K272" s="168">
        <v>2.7</v>
      </c>
      <c r="L272" s="168"/>
      <c r="M272" s="1"/>
    </row>
    <row r="273" spans="1:13">
      <c r="A273" s="30">
        <v>271</v>
      </c>
      <c r="B273" s="1" t="s">
        <v>1981</v>
      </c>
      <c r="C273" s="28" t="s">
        <v>2234</v>
      </c>
      <c r="D273" s="1" t="s">
        <v>29</v>
      </c>
      <c r="E273" s="1" t="s">
        <v>2506</v>
      </c>
      <c r="F273" s="168">
        <v>25</v>
      </c>
      <c r="G273" s="168">
        <v>12</v>
      </c>
      <c r="H273" s="168">
        <v>12</v>
      </c>
      <c r="I273" s="168">
        <v>128</v>
      </c>
      <c r="J273" s="168"/>
      <c r="K273" s="168">
        <v>2.7</v>
      </c>
      <c r="L273" s="168"/>
      <c r="M273" s="1"/>
    </row>
    <row r="274" spans="1:13">
      <c r="A274" s="30">
        <v>272</v>
      </c>
      <c r="B274" s="1" t="s">
        <v>1982</v>
      </c>
      <c r="C274" s="28" t="s">
        <v>2234</v>
      </c>
      <c r="D274" s="1" t="s">
        <v>29</v>
      </c>
      <c r="E274" s="1" t="s">
        <v>2507</v>
      </c>
      <c r="F274" s="168">
        <v>35</v>
      </c>
      <c r="G274" s="168">
        <v>12</v>
      </c>
      <c r="H274" s="168">
        <v>12</v>
      </c>
      <c r="I274" s="168">
        <v>105</v>
      </c>
      <c r="J274" s="168"/>
      <c r="K274" s="168">
        <v>2.7</v>
      </c>
      <c r="L274" s="168"/>
      <c r="M274" s="1"/>
    </row>
    <row r="275" spans="1:13">
      <c r="A275" s="30">
        <v>273</v>
      </c>
      <c r="B275" s="1" t="s">
        <v>1983</v>
      </c>
      <c r="C275" s="28" t="s">
        <v>2234</v>
      </c>
      <c r="D275" s="1" t="s">
        <v>29</v>
      </c>
      <c r="E275" s="1" t="s">
        <v>2508</v>
      </c>
      <c r="F275" s="168">
        <v>50</v>
      </c>
      <c r="G275" s="168">
        <v>12</v>
      </c>
      <c r="H275" s="168">
        <v>12</v>
      </c>
      <c r="I275" s="168">
        <v>64</v>
      </c>
      <c r="J275" s="168"/>
      <c r="K275" s="168">
        <v>2.7</v>
      </c>
      <c r="L275" s="168"/>
      <c r="M275" s="1"/>
    </row>
    <row r="276" spans="1:13">
      <c r="A276" s="30">
        <v>274</v>
      </c>
      <c r="B276" s="1" t="s">
        <v>1984</v>
      </c>
      <c r="C276" s="28" t="s">
        <v>2234</v>
      </c>
      <c r="D276" s="1" t="s">
        <v>29</v>
      </c>
      <c r="E276" s="1" t="s">
        <v>2509</v>
      </c>
      <c r="F276" s="168">
        <v>50</v>
      </c>
      <c r="G276" s="168">
        <v>25</v>
      </c>
      <c r="H276" s="168">
        <v>10</v>
      </c>
      <c r="I276" s="168">
        <v>36</v>
      </c>
      <c r="J276" s="168"/>
      <c r="K276" s="168">
        <v>2.7</v>
      </c>
      <c r="L276" s="168"/>
      <c r="M276" s="1"/>
    </row>
    <row r="277" spans="1:13">
      <c r="A277" s="30">
        <v>275</v>
      </c>
      <c r="B277" s="1" t="s">
        <v>1985</v>
      </c>
      <c r="C277" s="28" t="s">
        <v>2234</v>
      </c>
      <c r="D277" s="1" t="s">
        <v>29</v>
      </c>
      <c r="E277" s="1" t="s">
        <v>2510</v>
      </c>
      <c r="F277" s="168">
        <v>50</v>
      </c>
      <c r="G277" s="168">
        <v>25</v>
      </c>
      <c r="H277" s="168">
        <v>25</v>
      </c>
      <c r="I277" s="168">
        <v>5</v>
      </c>
      <c r="J277" s="168"/>
      <c r="K277" s="168">
        <v>2.7</v>
      </c>
      <c r="L277" s="168"/>
      <c r="M277" s="1"/>
    </row>
    <row r="278" spans="1:13">
      <c r="A278" s="30">
        <v>276</v>
      </c>
      <c r="B278" s="1" t="s">
        <v>1986</v>
      </c>
      <c r="C278" s="28" t="s">
        <v>2234</v>
      </c>
      <c r="D278" s="1" t="s">
        <v>29</v>
      </c>
      <c r="E278" s="1" t="s">
        <v>2511</v>
      </c>
      <c r="F278" s="168">
        <v>70</v>
      </c>
      <c r="G278" s="168">
        <v>50</v>
      </c>
      <c r="H278" s="168">
        <v>50</v>
      </c>
      <c r="I278" s="168">
        <v>2</v>
      </c>
      <c r="J278" s="168"/>
      <c r="K278" s="168">
        <v>2.7</v>
      </c>
      <c r="L278" s="168"/>
      <c r="M278" s="1"/>
    </row>
    <row r="279" spans="1:13">
      <c r="A279" s="30">
        <v>277</v>
      </c>
      <c r="B279" s="1" t="s">
        <v>1987</v>
      </c>
      <c r="C279" s="28" t="s">
        <v>2234</v>
      </c>
      <c r="D279" s="1" t="s">
        <v>29</v>
      </c>
      <c r="E279" s="1" t="s">
        <v>2512</v>
      </c>
      <c r="F279" s="168">
        <v>75</v>
      </c>
      <c r="G279" s="168">
        <v>12</v>
      </c>
      <c r="H279" s="168">
        <v>12</v>
      </c>
      <c r="I279" s="168">
        <v>45</v>
      </c>
      <c r="J279" s="168"/>
      <c r="K279" s="168">
        <v>2.7</v>
      </c>
      <c r="L279" s="168"/>
      <c r="M279" s="1"/>
    </row>
    <row r="280" spans="1:13">
      <c r="A280" s="30">
        <v>278</v>
      </c>
      <c r="B280" s="1" t="s">
        <v>1988</v>
      </c>
      <c r="C280" s="28" t="s">
        <v>2234</v>
      </c>
      <c r="D280" s="1" t="s">
        <v>29</v>
      </c>
      <c r="E280" s="1" t="s">
        <v>2513</v>
      </c>
      <c r="F280" s="168">
        <v>75</v>
      </c>
      <c r="G280" s="168">
        <v>25</v>
      </c>
      <c r="H280" s="168">
        <v>10</v>
      </c>
      <c r="I280" s="168">
        <v>20</v>
      </c>
      <c r="J280" s="168"/>
      <c r="K280" s="168">
        <v>2.7</v>
      </c>
      <c r="L280" s="168"/>
      <c r="M280" s="1"/>
    </row>
    <row r="281" spans="1:13">
      <c r="A281" s="30">
        <v>279</v>
      </c>
      <c r="B281" s="1" t="s">
        <v>1989</v>
      </c>
      <c r="C281" s="28" t="s">
        <v>2234</v>
      </c>
      <c r="D281" s="1" t="s">
        <v>29</v>
      </c>
      <c r="E281" s="1" t="s">
        <v>2514</v>
      </c>
      <c r="F281" s="168">
        <v>75</v>
      </c>
      <c r="G281" s="168">
        <v>25</v>
      </c>
      <c r="H281" s="168">
        <v>25</v>
      </c>
      <c r="I281" s="168">
        <v>7</v>
      </c>
      <c r="J281" s="168"/>
      <c r="K281" s="168">
        <v>2.7</v>
      </c>
      <c r="L281" s="168"/>
      <c r="M281" s="1"/>
    </row>
    <row r="282" spans="1:13">
      <c r="A282" s="30">
        <v>280</v>
      </c>
      <c r="B282" s="1" t="s">
        <v>1990</v>
      </c>
      <c r="C282" s="28" t="s">
        <v>2234</v>
      </c>
      <c r="D282" s="1" t="s">
        <v>29</v>
      </c>
      <c r="E282" s="1" t="s">
        <v>2515</v>
      </c>
      <c r="F282" s="168">
        <v>100</v>
      </c>
      <c r="G282" s="168">
        <v>28</v>
      </c>
      <c r="H282" s="168">
        <v>12</v>
      </c>
      <c r="I282" s="168">
        <v>16</v>
      </c>
      <c r="J282" s="168"/>
      <c r="K282" s="168">
        <v>2.7</v>
      </c>
      <c r="L282" s="168"/>
      <c r="M282" s="1"/>
    </row>
    <row r="283" spans="1:13">
      <c r="A283" s="30">
        <v>281</v>
      </c>
      <c r="B283" s="1" t="s">
        <v>1991</v>
      </c>
      <c r="C283" s="28" t="s">
        <v>2234</v>
      </c>
      <c r="D283" s="1" t="s">
        <v>29</v>
      </c>
      <c r="E283" s="1" t="s">
        <v>2516</v>
      </c>
      <c r="F283" s="168">
        <v>121.4</v>
      </c>
      <c r="G283" s="168">
        <v>20</v>
      </c>
      <c r="H283" s="168">
        <v>10.199999999999999</v>
      </c>
      <c r="I283" s="168">
        <v>12</v>
      </c>
      <c r="J283" s="168"/>
      <c r="K283" s="168">
        <v>2.7</v>
      </c>
      <c r="L283" s="168"/>
      <c r="M283" s="1"/>
    </row>
    <row r="284" spans="1:13">
      <c r="A284" s="30">
        <v>282</v>
      </c>
      <c r="B284" s="1" t="s">
        <v>1992</v>
      </c>
      <c r="C284" s="28" t="s">
        <v>2234</v>
      </c>
      <c r="D284" s="1" t="s">
        <v>29</v>
      </c>
      <c r="E284" s="1" t="s">
        <v>2517</v>
      </c>
      <c r="F284" s="168">
        <v>132.1</v>
      </c>
      <c r="G284" s="168">
        <v>35.6</v>
      </c>
      <c r="H284" s="168">
        <v>8</v>
      </c>
      <c r="I284" s="168">
        <v>11</v>
      </c>
      <c r="J284" s="168"/>
      <c r="K284" s="168">
        <v>2.7</v>
      </c>
      <c r="L284" s="168"/>
      <c r="M284" s="1"/>
    </row>
    <row r="285" spans="1:13">
      <c r="A285" s="30">
        <v>283</v>
      </c>
      <c r="B285" s="1" t="s">
        <v>1993</v>
      </c>
      <c r="C285" s="28" t="s">
        <v>2234</v>
      </c>
      <c r="D285" s="1" t="s">
        <v>29</v>
      </c>
      <c r="E285" s="1" t="s">
        <v>2518</v>
      </c>
      <c r="F285" s="168">
        <v>61</v>
      </c>
      <c r="G285" s="168">
        <v>40.6</v>
      </c>
      <c r="H285" s="168">
        <v>5</v>
      </c>
      <c r="I285" s="168">
        <v>20</v>
      </c>
      <c r="J285" s="168"/>
      <c r="K285" s="168">
        <v>2.7</v>
      </c>
      <c r="L285" s="168"/>
      <c r="M285" s="1"/>
    </row>
    <row r="286" spans="1:13">
      <c r="A286" s="30">
        <v>284</v>
      </c>
      <c r="B286" s="1" t="s">
        <v>1994</v>
      </c>
      <c r="C286" s="28" t="s">
        <v>2234</v>
      </c>
      <c r="D286" s="1" t="s">
        <v>10</v>
      </c>
      <c r="E286" s="1" t="s">
        <v>2519</v>
      </c>
      <c r="F286" s="168">
        <v>100</v>
      </c>
      <c r="G286" s="168">
        <v>50</v>
      </c>
      <c r="H286" s="168">
        <v>3</v>
      </c>
      <c r="I286" s="168">
        <v>20</v>
      </c>
      <c r="J286" s="168"/>
      <c r="K286" s="168">
        <v>2.7</v>
      </c>
      <c r="L286" s="168"/>
      <c r="M286" s="1"/>
    </row>
    <row r="287" spans="1:13">
      <c r="A287" s="30">
        <v>285</v>
      </c>
      <c r="B287" s="1" t="s">
        <v>1995</v>
      </c>
      <c r="C287" s="28" t="s">
        <v>2234</v>
      </c>
      <c r="D287" s="1" t="s">
        <v>10</v>
      </c>
      <c r="E287" s="1" t="s">
        <v>2520</v>
      </c>
      <c r="F287" s="168">
        <v>104.1</v>
      </c>
      <c r="G287" s="168">
        <v>68.599999999999994</v>
      </c>
      <c r="H287" s="168">
        <v>4</v>
      </c>
      <c r="I287" s="168">
        <v>12</v>
      </c>
      <c r="J287" s="168"/>
      <c r="K287" s="168">
        <v>2.7</v>
      </c>
      <c r="L287" s="168"/>
      <c r="M287" s="1"/>
    </row>
    <row r="288" spans="1:13">
      <c r="A288" s="30">
        <v>286</v>
      </c>
      <c r="B288" s="1" t="s">
        <v>1996</v>
      </c>
      <c r="C288" s="28" t="s">
        <v>2234</v>
      </c>
      <c r="D288" s="1" t="s">
        <v>10</v>
      </c>
      <c r="E288" s="1" t="s">
        <v>2521</v>
      </c>
      <c r="F288" s="168">
        <v>106.7</v>
      </c>
      <c r="G288" s="168">
        <v>61</v>
      </c>
      <c r="H288" s="168">
        <v>5</v>
      </c>
      <c r="I288" s="168">
        <v>10</v>
      </c>
      <c r="J288" s="168"/>
      <c r="K288" s="168">
        <v>2.7</v>
      </c>
      <c r="L288" s="168"/>
      <c r="M288" s="1"/>
    </row>
    <row r="289" spans="1:13">
      <c r="A289" s="30">
        <v>287</v>
      </c>
      <c r="B289" s="1" t="s">
        <v>1997</v>
      </c>
      <c r="C289" s="28" t="s">
        <v>2234</v>
      </c>
      <c r="D289" s="1" t="s">
        <v>10</v>
      </c>
      <c r="E289" s="1" t="s">
        <v>2522</v>
      </c>
      <c r="F289" s="168">
        <v>106.7</v>
      </c>
      <c r="G289" s="168">
        <v>68.599999999999994</v>
      </c>
      <c r="H289" s="168">
        <v>4</v>
      </c>
      <c r="I289" s="168">
        <v>10</v>
      </c>
      <c r="J289" s="168"/>
      <c r="K289" s="168">
        <v>2.7</v>
      </c>
      <c r="L289" s="168"/>
      <c r="M289" s="1"/>
    </row>
    <row r="290" spans="1:13">
      <c r="A290" s="30">
        <v>288</v>
      </c>
      <c r="B290" s="1" t="s">
        <v>1998</v>
      </c>
      <c r="C290" s="28" t="s">
        <v>2234</v>
      </c>
      <c r="D290" s="1" t="s">
        <v>10</v>
      </c>
      <c r="E290" s="1" t="s">
        <v>2523</v>
      </c>
      <c r="F290" s="168">
        <v>12.7</v>
      </c>
      <c r="G290" s="168">
        <v>7.6</v>
      </c>
      <c r="H290" s="168">
        <v>3</v>
      </c>
      <c r="I290" s="168">
        <v>60</v>
      </c>
      <c r="J290" s="168"/>
      <c r="K290" s="168">
        <v>2.7</v>
      </c>
      <c r="L290" s="168"/>
      <c r="M290" s="1"/>
    </row>
    <row r="291" spans="1:13">
      <c r="A291" s="30">
        <v>289</v>
      </c>
      <c r="B291" s="1" t="s">
        <v>1999</v>
      </c>
      <c r="C291" s="28" t="s">
        <v>2234</v>
      </c>
      <c r="D291" s="1" t="s">
        <v>10</v>
      </c>
      <c r="E291" s="1" t="s">
        <v>2524</v>
      </c>
      <c r="F291" s="168">
        <v>121.4</v>
      </c>
      <c r="G291" s="168">
        <v>32.5</v>
      </c>
      <c r="H291" s="168">
        <v>3</v>
      </c>
      <c r="I291" s="168">
        <v>33</v>
      </c>
      <c r="J291" s="168"/>
      <c r="K291" s="168">
        <v>2.7</v>
      </c>
      <c r="L291" s="168"/>
      <c r="M291" s="1"/>
    </row>
    <row r="292" spans="1:13">
      <c r="A292" s="30">
        <v>290</v>
      </c>
      <c r="B292" s="1" t="s">
        <v>2000</v>
      </c>
      <c r="C292" s="28" t="s">
        <v>2234</v>
      </c>
      <c r="D292" s="1" t="s">
        <v>10</v>
      </c>
      <c r="E292" s="1" t="s">
        <v>2525</v>
      </c>
      <c r="F292" s="168">
        <v>121.4</v>
      </c>
      <c r="G292" s="168">
        <v>41.8</v>
      </c>
      <c r="H292" s="168">
        <v>3</v>
      </c>
      <c r="I292" s="168">
        <v>33</v>
      </c>
      <c r="J292" s="168"/>
      <c r="K292" s="168">
        <v>2.7</v>
      </c>
      <c r="L292" s="168"/>
      <c r="M292" s="1"/>
    </row>
    <row r="293" spans="1:13">
      <c r="A293" s="30">
        <v>291</v>
      </c>
      <c r="B293" s="1" t="s">
        <v>2001</v>
      </c>
      <c r="C293" s="28" t="s">
        <v>2234</v>
      </c>
      <c r="D293" s="1" t="s">
        <v>10</v>
      </c>
      <c r="E293" s="1" t="s">
        <v>2526</v>
      </c>
      <c r="F293" s="168">
        <v>121.4</v>
      </c>
      <c r="G293" s="168">
        <v>63.3</v>
      </c>
      <c r="H293" s="168">
        <v>3</v>
      </c>
      <c r="I293" s="168">
        <v>23</v>
      </c>
      <c r="J293" s="168"/>
      <c r="K293" s="168">
        <v>2.7</v>
      </c>
      <c r="L293" s="168"/>
      <c r="M293" s="1"/>
    </row>
    <row r="294" spans="1:13">
      <c r="A294" s="30">
        <v>292</v>
      </c>
      <c r="B294" s="1" t="s">
        <v>2002</v>
      </c>
      <c r="C294" s="28" t="s">
        <v>2234</v>
      </c>
      <c r="D294" s="1" t="s">
        <v>10</v>
      </c>
      <c r="E294" s="1" t="s">
        <v>2527</v>
      </c>
      <c r="F294" s="168">
        <v>121.4</v>
      </c>
      <c r="G294" s="168">
        <v>67.5</v>
      </c>
      <c r="H294" s="168">
        <v>3</v>
      </c>
      <c r="I294" s="168">
        <v>23</v>
      </c>
      <c r="J294" s="168"/>
      <c r="K294" s="168">
        <v>2.7</v>
      </c>
      <c r="L294" s="168"/>
      <c r="M294" s="1"/>
    </row>
    <row r="295" spans="1:13">
      <c r="A295" s="30">
        <v>293</v>
      </c>
      <c r="B295" s="1" t="s">
        <v>2003</v>
      </c>
      <c r="C295" s="28" t="s">
        <v>2234</v>
      </c>
      <c r="D295" s="1" t="s">
        <v>10</v>
      </c>
      <c r="E295" s="1" t="s">
        <v>2528</v>
      </c>
      <c r="F295" s="168">
        <v>121.9</v>
      </c>
      <c r="G295" s="168">
        <v>68.599999999999994</v>
      </c>
      <c r="H295" s="168">
        <v>8</v>
      </c>
      <c r="I295" s="168">
        <v>6</v>
      </c>
      <c r="J295" s="168"/>
      <c r="K295" s="168">
        <v>2.7</v>
      </c>
      <c r="L295" s="168"/>
      <c r="M295" s="1"/>
    </row>
    <row r="296" spans="1:13">
      <c r="A296" s="30">
        <v>294</v>
      </c>
      <c r="B296" s="1" t="s">
        <v>2004</v>
      </c>
      <c r="C296" s="28" t="s">
        <v>2234</v>
      </c>
      <c r="D296" s="1" t="s">
        <v>10</v>
      </c>
      <c r="E296" s="1" t="s">
        <v>2529</v>
      </c>
      <c r="F296" s="168">
        <v>149.5</v>
      </c>
      <c r="G296" s="168">
        <v>61</v>
      </c>
      <c r="H296" s="168">
        <v>8</v>
      </c>
      <c r="I296" s="168">
        <v>5</v>
      </c>
      <c r="J296" s="168"/>
      <c r="K296" s="168">
        <v>2.7</v>
      </c>
      <c r="L296" s="168"/>
      <c r="M296" s="1"/>
    </row>
    <row r="297" spans="1:13">
      <c r="A297" s="30">
        <v>295</v>
      </c>
      <c r="B297" s="1" t="s">
        <v>2005</v>
      </c>
      <c r="C297" s="28" t="s">
        <v>2234</v>
      </c>
      <c r="D297" s="1" t="s">
        <v>10</v>
      </c>
      <c r="E297" s="1" t="s">
        <v>2530</v>
      </c>
      <c r="F297" s="168">
        <v>152.4</v>
      </c>
      <c r="G297" s="168">
        <v>62.2</v>
      </c>
      <c r="H297" s="168">
        <v>10</v>
      </c>
      <c r="I297" s="168">
        <v>4</v>
      </c>
      <c r="J297" s="168"/>
      <c r="K297" s="168">
        <v>2.7</v>
      </c>
      <c r="L297" s="168"/>
      <c r="M297" s="1"/>
    </row>
    <row r="298" spans="1:13">
      <c r="A298" s="30">
        <v>296</v>
      </c>
      <c r="B298" s="1" t="s">
        <v>2006</v>
      </c>
      <c r="C298" s="28" t="s">
        <v>2234</v>
      </c>
      <c r="D298" s="1" t="s">
        <v>10</v>
      </c>
      <c r="E298" s="1" t="s">
        <v>2531</v>
      </c>
      <c r="F298" s="168">
        <v>152.4</v>
      </c>
      <c r="G298" s="168">
        <v>66</v>
      </c>
      <c r="H298" s="168">
        <v>4</v>
      </c>
      <c r="I298" s="168">
        <v>7</v>
      </c>
      <c r="J298" s="168"/>
      <c r="K298" s="168">
        <v>2.7</v>
      </c>
      <c r="L298" s="168"/>
      <c r="M298" s="1"/>
    </row>
    <row r="299" spans="1:13">
      <c r="A299" s="30">
        <v>297</v>
      </c>
      <c r="B299" s="1" t="s">
        <v>2007</v>
      </c>
      <c r="C299" s="28" t="s">
        <v>2234</v>
      </c>
      <c r="D299" s="1" t="s">
        <v>10</v>
      </c>
      <c r="E299" s="1" t="s">
        <v>2532</v>
      </c>
      <c r="F299" s="168">
        <v>20</v>
      </c>
      <c r="G299" s="168">
        <v>6</v>
      </c>
      <c r="H299" s="168">
        <v>2</v>
      </c>
      <c r="I299" s="168">
        <v>40</v>
      </c>
      <c r="J299" s="168"/>
      <c r="K299" s="168">
        <v>2.7</v>
      </c>
      <c r="L299" s="168"/>
      <c r="M299" s="1"/>
    </row>
    <row r="300" spans="1:13">
      <c r="A300" s="30">
        <v>298</v>
      </c>
      <c r="B300" s="1" t="s">
        <v>2008</v>
      </c>
      <c r="C300" s="28" t="s">
        <v>2234</v>
      </c>
      <c r="D300" s="1" t="s">
        <v>10</v>
      </c>
      <c r="E300" s="1" t="s">
        <v>2533</v>
      </c>
      <c r="F300" s="168">
        <v>30</v>
      </c>
      <c r="G300" s="168">
        <v>30</v>
      </c>
      <c r="H300" s="168">
        <v>3</v>
      </c>
      <c r="I300" s="168">
        <v>100</v>
      </c>
      <c r="J300" s="168"/>
      <c r="K300" s="168">
        <v>2.7</v>
      </c>
      <c r="L300" s="168"/>
      <c r="M300" s="1"/>
    </row>
    <row r="301" spans="1:13">
      <c r="A301" s="30">
        <v>299</v>
      </c>
      <c r="B301" s="1" t="s">
        <v>2009</v>
      </c>
      <c r="C301" s="28" t="s">
        <v>2234</v>
      </c>
      <c r="D301" s="1" t="s">
        <v>10</v>
      </c>
      <c r="E301" s="1" t="s">
        <v>2534</v>
      </c>
      <c r="F301" s="168">
        <v>37.6</v>
      </c>
      <c r="G301" s="168">
        <v>31.6</v>
      </c>
      <c r="H301" s="168">
        <v>3</v>
      </c>
      <c r="I301" s="168">
        <v>33</v>
      </c>
      <c r="J301" s="168"/>
      <c r="K301" s="168">
        <v>2.7</v>
      </c>
      <c r="L301" s="168"/>
      <c r="M301" s="1"/>
    </row>
    <row r="302" spans="1:13">
      <c r="A302" s="30">
        <v>300</v>
      </c>
      <c r="B302" s="1" t="s">
        <v>2010</v>
      </c>
      <c r="C302" s="28" t="s">
        <v>2234</v>
      </c>
      <c r="D302" s="1" t="s">
        <v>10</v>
      </c>
      <c r="E302" s="1" t="s">
        <v>2535</v>
      </c>
      <c r="F302" s="168">
        <v>39</v>
      </c>
      <c r="G302" s="168">
        <v>19.5</v>
      </c>
      <c r="H302" s="168">
        <v>6</v>
      </c>
      <c r="I302" s="168">
        <v>96</v>
      </c>
      <c r="J302" s="168"/>
      <c r="K302" s="168">
        <v>2.7</v>
      </c>
      <c r="L302" s="168"/>
      <c r="M302" s="1"/>
    </row>
    <row r="303" spans="1:13">
      <c r="A303" s="30">
        <v>301</v>
      </c>
      <c r="B303" s="1" t="s">
        <v>2011</v>
      </c>
      <c r="C303" s="28" t="s">
        <v>2234</v>
      </c>
      <c r="D303" s="1" t="s">
        <v>10</v>
      </c>
      <c r="E303" s="1" t="s">
        <v>2536</v>
      </c>
      <c r="F303" s="168">
        <v>41.8</v>
      </c>
      <c r="G303" s="168">
        <v>29.4</v>
      </c>
      <c r="H303" s="168">
        <v>3</v>
      </c>
      <c r="I303" s="168">
        <v>33</v>
      </c>
      <c r="J303" s="168"/>
      <c r="K303" s="168">
        <v>2.7</v>
      </c>
      <c r="L303" s="168"/>
      <c r="M303" s="1"/>
    </row>
    <row r="304" spans="1:13">
      <c r="A304" s="30">
        <v>302</v>
      </c>
      <c r="B304" s="1" t="s">
        <v>2012</v>
      </c>
      <c r="C304" s="28" t="s">
        <v>2234</v>
      </c>
      <c r="D304" s="1" t="s">
        <v>10</v>
      </c>
      <c r="E304" s="1" t="s">
        <v>2537</v>
      </c>
      <c r="F304" s="168">
        <v>41.8</v>
      </c>
      <c r="G304" s="168">
        <v>39.5</v>
      </c>
      <c r="H304" s="168">
        <v>3</v>
      </c>
      <c r="I304" s="168">
        <v>33</v>
      </c>
      <c r="J304" s="168"/>
      <c r="K304" s="168">
        <v>2.7</v>
      </c>
      <c r="L304" s="168"/>
      <c r="M304" s="1"/>
    </row>
    <row r="305" spans="1:13">
      <c r="A305" s="30">
        <v>303</v>
      </c>
      <c r="B305" s="1" t="s">
        <v>2013</v>
      </c>
      <c r="C305" s="28" t="s">
        <v>2234</v>
      </c>
      <c r="D305" s="1" t="s">
        <v>10</v>
      </c>
      <c r="E305" s="1" t="s">
        <v>2538</v>
      </c>
      <c r="F305" s="168">
        <v>45.7</v>
      </c>
      <c r="G305" s="168">
        <v>91.4</v>
      </c>
      <c r="H305" s="168">
        <v>2</v>
      </c>
      <c r="I305" s="168">
        <v>25</v>
      </c>
      <c r="J305" s="168"/>
      <c r="K305" s="168">
        <v>2.7</v>
      </c>
      <c r="L305" s="168"/>
      <c r="M305" s="1"/>
    </row>
    <row r="306" spans="1:13">
      <c r="A306" s="30">
        <v>304</v>
      </c>
      <c r="B306" s="1" t="s">
        <v>2014</v>
      </c>
      <c r="C306" s="28" t="s">
        <v>2234</v>
      </c>
      <c r="D306" s="1" t="s">
        <v>10</v>
      </c>
      <c r="E306" s="1" t="s">
        <v>2539</v>
      </c>
      <c r="F306" s="168">
        <v>45.7</v>
      </c>
      <c r="G306" s="168">
        <v>91.4</v>
      </c>
      <c r="H306" s="168">
        <v>4</v>
      </c>
      <c r="I306" s="168">
        <v>15</v>
      </c>
      <c r="J306" s="168"/>
      <c r="K306" s="168">
        <v>2.7</v>
      </c>
      <c r="L306" s="168"/>
      <c r="M306" s="1"/>
    </row>
    <row r="307" spans="1:13">
      <c r="A307" s="30">
        <v>305</v>
      </c>
      <c r="B307" s="1" t="s">
        <v>2015</v>
      </c>
      <c r="C307" s="28" t="s">
        <v>2234</v>
      </c>
      <c r="D307" s="1" t="s">
        <v>10</v>
      </c>
      <c r="E307" s="1" t="s">
        <v>2540</v>
      </c>
      <c r="F307" s="168">
        <v>45</v>
      </c>
      <c r="G307" s="168">
        <v>90</v>
      </c>
      <c r="H307" s="168">
        <v>3</v>
      </c>
      <c r="I307" s="168">
        <v>30</v>
      </c>
      <c r="J307" s="168"/>
      <c r="K307" s="168">
        <v>2.7</v>
      </c>
      <c r="L307" s="168"/>
      <c r="M307" s="1"/>
    </row>
    <row r="308" spans="1:13">
      <c r="A308" s="30">
        <v>306</v>
      </c>
      <c r="B308" s="1" t="s">
        <v>2016</v>
      </c>
      <c r="C308" s="28" t="s">
        <v>2234</v>
      </c>
      <c r="D308" s="1" t="s">
        <v>10</v>
      </c>
      <c r="E308" s="1" t="s">
        <v>2541</v>
      </c>
      <c r="F308" s="168">
        <v>50</v>
      </c>
      <c r="G308" s="168">
        <v>50</v>
      </c>
      <c r="H308" s="168">
        <v>4</v>
      </c>
      <c r="I308" s="168">
        <v>2</v>
      </c>
      <c r="J308" s="168"/>
      <c r="K308" s="168">
        <v>2.7</v>
      </c>
      <c r="L308" s="168"/>
      <c r="M308" s="1"/>
    </row>
    <row r="309" spans="1:13">
      <c r="A309" s="30">
        <v>307</v>
      </c>
      <c r="B309" s="1" t="s">
        <v>2017</v>
      </c>
      <c r="C309" s="28" t="s">
        <v>2234</v>
      </c>
      <c r="D309" s="1" t="s">
        <v>10</v>
      </c>
      <c r="E309" s="1" t="s">
        <v>2542</v>
      </c>
      <c r="F309" s="168">
        <v>60</v>
      </c>
      <c r="G309" s="168">
        <v>30</v>
      </c>
      <c r="H309" s="168">
        <v>3</v>
      </c>
      <c r="I309" s="168">
        <v>60</v>
      </c>
      <c r="J309" s="168"/>
      <c r="K309" s="168">
        <v>2.7</v>
      </c>
      <c r="L309" s="168"/>
      <c r="M309" s="1"/>
    </row>
    <row r="310" spans="1:13">
      <c r="A310" s="30">
        <v>308</v>
      </c>
      <c r="B310" s="1" t="s">
        <v>2018</v>
      </c>
      <c r="C310" s="28" t="s">
        <v>2234</v>
      </c>
      <c r="D310" s="1" t="s">
        <v>10</v>
      </c>
      <c r="E310" s="1" t="s">
        <v>2543</v>
      </c>
      <c r="F310" s="168">
        <v>60</v>
      </c>
      <c r="G310" s="168">
        <v>60</v>
      </c>
      <c r="H310" s="168">
        <v>3</v>
      </c>
      <c r="I310" s="168">
        <v>13</v>
      </c>
      <c r="J310" s="168"/>
      <c r="K310" s="168">
        <v>2.7</v>
      </c>
      <c r="L310" s="168"/>
      <c r="M310" s="1"/>
    </row>
    <row r="311" spans="1:13">
      <c r="A311" s="30">
        <v>309</v>
      </c>
      <c r="B311" s="1" t="s">
        <v>2019</v>
      </c>
      <c r="C311" s="28" t="s">
        <v>2234</v>
      </c>
      <c r="D311" s="1" t="s">
        <v>10</v>
      </c>
      <c r="E311" s="1" t="s">
        <v>2544</v>
      </c>
      <c r="F311" s="168">
        <v>121.9</v>
      </c>
      <c r="G311" s="168">
        <v>61</v>
      </c>
      <c r="H311" s="168">
        <v>2</v>
      </c>
      <c r="I311" s="168">
        <v>18</v>
      </c>
      <c r="J311" s="168"/>
      <c r="K311" s="168">
        <v>2.7</v>
      </c>
      <c r="L311" s="168"/>
      <c r="M311" s="1"/>
    </row>
    <row r="312" spans="1:13">
      <c r="A312" s="30">
        <v>310</v>
      </c>
      <c r="B312" s="1" t="s">
        <v>2020</v>
      </c>
      <c r="C312" s="28" t="s">
        <v>2234</v>
      </c>
      <c r="D312" s="1" t="s">
        <v>10</v>
      </c>
      <c r="E312" s="1" t="s">
        <v>2545</v>
      </c>
      <c r="F312" s="168">
        <v>121.9</v>
      </c>
      <c r="G312" s="168">
        <v>61</v>
      </c>
      <c r="H312" s="168">
        <v>4</v>
      </c>
      <c r="I312" s="168">
        <v>10</v>
      </c>
      <c r="J312" s="168"/>
      <c r="K312" s="168">
        <v>2.7</v>
      </c>
      <c r="L312" s="168"/>
      <c r="M312" s="1"/>
    </row>
    <row r="313" spans="1:13">
      <c r="A313" s="30">
        <v>311</v>
      </c>
      <c r="B313" s="1" t="s">
        <v>2021</v>
      </c>
      <c r="C313" s="28" t="s">
        <v>2234</v>
      </c>
      <c r="D313" s="1" t="s">
        <v>10</v>
      </c>
      <c r="E313" s="1" t="s">
        <v>2546</v>
      </c>
      <c r="F313" s="168">
        <v>61</v>
      </c>
      <c r="G313" s="168">
        <v>40.6</v>
      </c>
      <c r="H313" s="168">
        <v>1.5</v>
      </c>
      <c r="I313" s="168">
        <v>68</v>
      </c>
      <c r="J313" s="168"/>
      <c r="K313" s="168">
        <v>2.7</v>
      </c>
      <c r="L313" s="168"/>
      <c r="M313" s="1"/>
    </row>
    <row r="314" spans="1:13">
      <c r="A314" s="30">
        <v>312</v>
      </c>
      <c r="B314" s="1" t="s">
        <v>2022</v>
      </c>
      <c r="C314" s="28" t="s">
        <v>2234</v>
      </c>
      <c r="D314" s="1" t="s">
        <v>10</v>
      </c>
      <c r="E314" s="1" t="s">
        <v>2547</v>
      </c>
      <c r="F314" s="168">
        <v>61</v>
      </c>
      <c r="G314" s="168">
        <v>40.6</v>
      </c>
      <c r="H314" s="168">
        <v>3</v>
      </c>
      <c r="I314" s="168">
        <v>34</v>
      </c>
      <c r="J314" s="168"/>
      <c r="K314" s="168">
        <v>2.7</v>
      </c>
      <c r="L314" s="168"/>
      <c r="M314" s="1"/>
    </row>
    <row r="315" spans="1:13">
      <c r="A315" s="30">
        <v>313</v>
      </c>
      <c r="B315" s="1" t="s">
        <v>2023</v>
      </c>
      <c r="C315" s="28" t="s">
        <v>2234</v>
      </c>
      <c r="D315" s="1" t="s">
        <v>10</v>
      </c>
      <c r="E315" s="1" t="s">
        <v>2548</v>
      </c>
      <c r="F315" s="168">
        <v>63.3</v>
      </c>
      <c r="G315" s="168">
        <v>29.4</v>
      </c>
      <c r="H315" s="168">
        <v>3</v>
      </c>
      <c r="I315" s="168">
        <v>33</v>
      </c>
      <c r="J315" s="168"/>
      <c r="K315" s="168">
        <v>2.7</v>
      </c>
      <c r="L315" s="168"/>
      <c r="M315" s="1"/>
    </row>
    <row r="316" spans="1:13">
      <c r="A316" s="30">
        <v>314</v>
      </c>
      <c r="B316" s="1" t="s">
        <v>2024</v>
      </c>
      <c r="C316" s="28" t="s">
        <v>2234</v>
      </c>
      <c r="D316" s="1" t="s">
        <v>10</v>
      </c>
      <c r="E316" s="1" t="s">
        <v>2549</v>
      </c>
      <c r="F316" s="168">
        <v>63.3</v>
      </c>
      <c r="G316" s="168">
        <v>39.5</v>
      </c>
      <c r="H316" s="168">
        <v>3</v>
      </c>
      <c r="I316" s="168">
        <v>33</v>
      </c>
      <c r="J316" s="168"/>
      <c r="K316" s="168">
        <v>2.7</v>
      </c>
      <c r="L316" s="168"/>
      <c r="M316" s="1"/>
    </row>
    <row r="317" spans="1:13">
      <c r="A317" s="30">
        <v>315</v>
      </c>
      <c r="B317" s="1" t="s">
        <v>2025</v>
      </c>
      <c r="C317" s="28" t="s">
        <v>2234</v>
      </c>
      <c r="D317" s="1" t="s">
        <v>10</v>
      </c>
      <c r="E317" s="1" t="s">
        <v>2550</v>
      </c>
      <c r="F317" s="168">
        <v>71.900000000000006</v>
      </c>
      <c r="G317" s="168">
        <v>63.3</v>
      </c>
      <c r="H317" s="168">
        <v>3</v>
      </c>
      <c r="I317" s="168">
        <v>27</v>
      </c>
      <c r="J317" s="168"/>
      <c r="K317" s="168">
        <v>2.7</v>
      </c>
      <c r="L317" s="168"/>
      <c r="M317" s="1"/>
    </row>
    <row r="318" spans="1:13">
      <c r="A318" s="30">
        <v>316</v>
      </c>
      <c r="B318" s="1" t="s">
        <v>2026</v>
      </c>
      <c r="C318" s="28" t="s">
        <v>2234</v>
      </c>
      <c r="D318" s="1" t="s">
        <v>10</v>
      </c>
      <c r="E318" s="1" t="s">
        <v>2551</v>
      </c>
      <c r="F318" s="168">
        <v>74.8</v>
      </c>
      <c r="G318" s="168">
        <v>47.1</v>
      </c>
      <c r="H318" s="168">
        <v>5</v>
      </c>
      <c r="I318" s="168">
        <v>10</v>
      </c>
      <c r="J318" s="168"/>
      <c r="K318" s="168">
        <v>2.7</v>
      </c>
      <c r="L318" s="168"/>
      <c r="M318" s="1"/>
    </row>
    <row r="319" spans="1:13">
      <c r="A319" s="30">
        <v>317</v>
      </c>
      <c r="B319" s="1" t="s">
        <v>2027</v>
      </c>
      <c r="C319" s="28" t="s">
        <v>2234</v>
      </c>
      <c r="D319" s="1" t="s">
        <v>10</v>
      </c>
      <c r="E319" s="1" t="s">
        <v>2552</v>
      </c>
      <c r="F319" s="168">
        <v>91</v>
      </c>
      <c r="G319" s="168">
        <v>19.5</v>
      </c>
      <c r="H319" s="168">
        <v>3</v>
      </c>
      <c r="I319" s="168">
        <v>33</v>
      </c>
      <c r="J319" s="168"/>
      <c r="K319" s="168">
        <v>2.7</v>
      </c>
      <c r="L319" s="168"/>
      <c r="M319" s="1"/>
    </row>
    <row r="320" spans="1:13">
      <c r="A320" s="30">
        <v>318</v>
      </c>
      <c r="B320" s="1" t="s">
        <v>2028</v>
      </c>
      <c r="C320" s="28" t="s">
        <v>2234</v>
      </c>
      <c r="D320" s="1" t="s">
        <v>10</v>
      </c>
      <c r="E320" s="1" t="s">
        <v>2553</v>
      </c>
      <c r="F320" s="168">
        <v>91</v>
      </c>
      <c r="G320" s="168">
        <v>63.3</v>
      </c>
      <c r="H320" s="168">
        <v>3</v>
      </c>
      <c r="I320" s="168">
        <v>27</v>
      </c>
      <c r="J320" s="168"/>
      <c r="K320" s="168">
        <v>2.7</v>
      </c>
      <c r="L320" s="168"/>
      <c r="M320" s="1"/>
    </row>
    <row r="321" spans="1:13">
      <c r="A321" s="30">
        <v>319</v>
      </c>
      <c r="B321" s="1" t="s">
        <v>2029</v>
      </c>
      <c r="C321" s="28" t="s">
        <v>2234</v>
      </c>
      <c r="D321" s="1" t="s">
        <v>10</v>
      </c>
      <c r="E321" s="1" t="s">
        <v>2554</v>
      </c>
      <c r="F321" s="168">
        <v>95.3</v>
      </c>
      <c r="G321" s="168">
        <v>54.6</v>
      </c>
      <c r="H321" s="168">
        <v>5</v>
      </c>
      <c r="I321" s="168">
        <v>10</v>
      </c>
      <c r="J321" s="168"/>
      <c r="K321" s="168">
        <v>2.7</v>
      </c>
      <c r="L321" s="168"/>
      <c r="M321" s="1"/>
    </row>
    <row r="322" spans="1:13">
      <c r="A322" s="30">
        <v>320</v>
      </c>
      <c r="B322" s="1" t="s">
        <v>2030</v>
      </c>
      <c r="C322" s="28" t="s">
        <v>2234</v>
      </c>
      <c r="D322" s="1" t="s">
        <v>10</v>
      </c>
      <c r="E322" s="1" t="s">
        <v>2555</v>
      </c>
      <c r="F322" s="168">
        <v>95.3</v>
      </c>
      <c r="G322" s="168">
        <v>57.2</v>
      </c>
      <c r="H322" s="168">
        <v>5</v>
      </c>
      <c r="I322" s="168">
        <v>10</v>
      </c>
      <c r="J322" s="168"/>
      <c r="K322" s="168">
        <v>2.7</v>
      </c>
      <c r="L322" s="168"/>
      <c r="M322" s="1"/>
    </row>
    <row r="323" spans="1:13">
      <c r="A323" s="30">
        <v>321</v>
      </c>
      <c r="B323" s="1" t="s">
        <v>2031</v>
      </c>
      <c r="C323" s="28" t="s">
        <v>2234</v>
      </c>
      <c r="D323" s="1" t="s">
        <v>10</v>
      </c>
      <c r="E323" s="1" t="s">
        <v>2556</v>
      </c>
      <c r="F323" s="168">
        <v>99.5</v>
      </c>
      <c r="G323" s="168">
        <v>45.2</v>
      </c>
      <c r="H323" s="168">
        <v>5</v>
      </c>
      <c r="I323" s="168">
        <v>10</v>
      </c>
      <c r="J323" s="168"/>
      <c r="K323" s="168">
        <v>2.7</v>
      </c>
      <c r="L323" s="168"/>
      <c r="M323" s="1"/>
    </row>
    <row r="324" spans="1:13">
      <c r="A324" s="30">
        <v>322</v>
      </c>
      <c r="B324" s="1" t="s">
        <v>2032</v>
      </c>
      <c r="C324" s="28" t="s">
        <v>2234</v>
      </c>
      <c r="D324" s="1" t="s">
        <v>10</v>
      </c>
      <c r="E324" s="1" t="s">
        <v>2557</v>
      </c>
      <c r="F324" s="168">
        <v>30</v>
      </c>
      <c r="G324" s="168">
        <v>30</v>
      </c>
      <c r="H324" s="168">
        <v>2</v>
      </c>
      <c r="I324" s="168">
        <v>10</v>
      </c>
      <c r="J324" s="168"/>
      <c r="K324" s="168">
        <v>2.7</v>
      </c>
      <c r="L324" s="168"/>
      <c r="M324" s="1"/>
    </row>
    <row r="325" spans="1:13">
      <c r="A325" s="30">
        <v>323</v>
      </c>
      <c r="B325" s="1" t="s">
        <v>2033</v>
      </c>
      <c r="C325" s="28" t="s">
        <v>2234</v>
      </c>
      <c r="D325" s="1" t="s">
        <v>10</v>
      </c>
      <c r="E325" s="1" t="s">
        <v>2558</v>
      </c>
      <c r="F325" s="168">
        <v>30</v>
      </c>
      <c r="G325" s="168">
        <v>30</v>
      </c>
      <c r="H325" s="168">
        <v>6</v>
      </c>
      <c r="I325" s="168">
        <v>84</v>
      </c>
      <c r="J325" s="168"/>
      <c r="K325" s="168">
        <v>2.7</v>
      </c>
      <c r="L325" s="168"/>
      <c r="M325" s="1"/>
    </row>
    <row r="326" spans="1:13">
      <c r="A326" s="30">
        <v>324</v>
      </c>
      <c r="B326" s="1" t="s">
        <v>2034</v>
      </c>
      <c r="C326" s="28" t="s">
        <v>2234</v>
      </c>
      <c r="D326" s="1" t="s">
        <v>10</v>
      </c>
      <c r="E326" s="1" t="s">
        <v>2559</v>
      </c>
      <c r="F326" s="168">
        <v>60</v>
      </c>
      <c r="G326" s="168">
        <v>30</v>
      </c>
      <c r="H326" s="168">
        <v>6</v>
      </c>
      <c r="I326" s="168">
        <v>42</v>
      </c>
      <c r="J326" s="168"/>
      <c r="K326" s="168">
        <v>2.7</v>
      </c>
      <c r="L326" s="168"/>
      <c r="M326" s="1"/>
    </row>
    <row r="327" spans="1:13">
      <c r="A327" s="30">
        <v>325</v>
      </c>
      <c r="B327" s="1" t="s">
        <v>2035</v>
      </c>
      <c r="C327" s="28" t="s">
        <v>2234</v>
      </c>
      <c r="D327" s="1" t="s">
        <v>10</v>
      </c>
      <c r="E327" s="1" t="s">
        <v>2560</v>
      </c>
      <c r="F327" s="168">
        <v>60</v>
      </c>
      <c r="G327" s="168">
        <v>40</v>
      </c>
      <c r="H327" s="168">
        <v>6</v>
      </c>
      <c r="I327" s="168">
        <v>28</v>
      </c>
      <c r="J327" s="168"/>
      <c r="K327" s="168">
        <v>2.7</v>
      </c>
      <c r="L327" s="168"/>
      <c r="M327" s="1"/>
    </row>
    <row r="328" spans="1:13">
      <c r="A328" s="30">
        <v>326</v>
      </c>
      <c r="B328" s="1" t="s">
        <v>2036</v>
      </c>
      <c r="C328" s="28" t="s">
        <v>2234</v>
      </c>
      <c r="D328" s="1" t="s">
        <v>10</v>
      </c>
      <c r="E328" s="1" t="s">
        <v>2561</v>
      </c>
      <c r="F328" s="168">
        <v>90</v>
      </c>
      <c r="G328" s="168">
        <v>45</v>
      </c>
      <c r="H328" s="168">
        <v>6</v>
      </c>
      <c r="I328" s="168">
        <v>16</v>
      </c>
      <c r="J328" s="168"/>
      <c r="K328" s="168">
        <v>2.7</v>
      </c>
      <c r="L328" s="168"/>
      <c r="M328" s="1"/>
    </row>
    <row r="329" spans="1:13">
      <c r="A329" s="30">
        <v>327</v>
      </c>
      <c r="B329" s="1" t="s">
        <v>2037</v>
      </c>
      <c r="C329" s="28" t="s">
        <v>2234</v>
      </c>
      <c r="D329" s="1" t="s">
        <v>10</v>
      </c>
      <c r="E329" s="1" t="s">
        <v>2562</v>
      </c>
      <c r="F329" s="168">
        <v>12.7</v>
      </c>
      <c r="G329" s="168">
        <v>7.6</v>
      </c>
      <c r="H329" s="168">
        <v>5</v>
      </c>
      <c r="I329" s="168">
        <v>60</v>
      </c>
      <c r="J329" s="168"/>
      <c r="K329" s="168">
        <v>2.7</v>
      </c>
      <c r="L329" s="168"/>
      <c r="M329" s="1"/>
    </row>
    <row r="330" spans="1:13">
      <c r="A330" s="30">
        <v>328</v>
      </c>
      <c r="B330" s="1" t="s">
        <v>2038</v>
      </c>
      <c r="C330" s="28" t="s">
        <v>2234</v>
      </c>
      <c r="D330" s="1" t="s">
        <v>10</v>
      </c>
      <c r="E330" s="1" t="s">
        <v>2563</v>
      </c>
      <c r="F330" s="168">
        <v>106.7</v>
      </c>
      <c r="G330" s="168">
        <v>45.7</v>
      </c>
      <c r="H330" s="168">
        <v>2</v>
      </c>
      <c r="I330" s="168">
        <v>40</v>
      </c>
      <c r="J330" s="168"/>
      <c r="K330" s="168">
        <v>2.7</v>
      </c>
      <c r="L330" s="168"/>
      <c r="M330" s="1"/>
    </row>
    <row r="331" spans="1:13">
      <c r="A331" s="30">
        <v>329</v>
      </c>
      <c r="B331" s="1" t="s">
        <v>2039</v>
      </c>
      <c r="C331" s="28" t="s">
        <v>2234</v>
      </c>
      <c r="D331" s="1" t="s">
        <v>10</v>
      </c>
      <c r="E331" s="1" t="s">
        <v>2564</v>
      </c>
      <c r="F331" s="168">
        <v>113.7</v>
      </c>
      <c r="G331" s="168">
        <v>15.2</v>
      </c>
      <c r="H331" s="168">
        <v>2</v>
      </c>
      <c r="I331" s="168">
        <v>60</v>
      </c>
      <c r="J331" s="168"/>
      <c r="K331" s="168">
        <v>2.7</v>
      </c>
      <c r="L331" s="168"/>
      <c r="M331" s="1"/>
    </row>
    <row r="332" spans="1:13">
      <c r="A332" s="30">
        <v>330</v>
      </c>
      <c r="B332" s="1" t="s">
        <v>2040</v>
      </c>
      <c r="C332" s="28" t="s">
        <v>2234</v>
      </c>
      <c r="D332" s="1" t="s">
        <v>10</v>
      </c>
      <c r="E332" s="1" t="s">
        <v>2565</v>
      </c>
      <c r="F332" s="168">
        <v>113.7</v>
      </c>
      <c r="G332" s="168">
        <v>29.8</v>
      </c>
      <c r="H332" s="168">
        <v>2</v>
      </c>
      <c r="I332" s="168">
        <v>34</v>
      </c>
      <c r="J332" s="168"/>
      <c r="K332" s="168">
        <v>2.7</v>
      </c>
      <c r="L332" s="168"/>
      <c r="M332" s="1"/>
    </row>
    <row r="333" spans="1:13">
      <c r="A333" s="30">
        <v>331</v>
      </c>
      <c r="B333" s="1" t="s">
        <v>2041</v>
      </c>
      <c r="C333" s="28" t="s">
        <v>2234</v>
      </c>
      <c r="D333" s="1" t="s">
        <v>10</v>
      </c>
      <c r="E333" s="1" t="s">
        <v>2566</v>
      </c>
      <c r="F333" s="168">
        <v>116.2</v>
      </c>
      <c r="G333" s="168">
        <v>15.2</v>
      </c>
      <c r="H333" s="168">
        <v>2</v>
      </c>
      <c r="I333" s="168">
        <v>60</v>
      </c>
      <c r="J333" s="168"/>
      <c r="K333" s="168">
        <v>2.7</v>
      </c>
      <c r="L333" s="168"/>
      <c r="M333" s="1"/>
    </row>
    <row r="334" spans="1:13">
      <c r="A334" s="30">
        <v>332</v>
      </c>
      <c r="B334" s="1" t="s">
        <v>2042</v>
      </c>
      <c r="C334" s="28" t="s">
        <v>2234</v>
      </c>
      <c r="D334" s="1" t="s">
        <v>10</v>
      </c>
      <c r="E334" s="1" t="s">
        <v>2567</v>
      </c>
      <c r="F334" s="168">
        <v>116.2</v>
      </c>
      <c r="G334" s="168">
        <v>29.8</v>
      </c>
      <c r="H334" s="168">
        <v>2</v>
      </c>
      <c r="I334" s="168">
        <v>34</v>
      </c>
      <c r="J334" s="168"/>
      <c r="K334" s="168">
        <v>2.7</v>
      </c>
      <c r="L334" s="168"/>
      <c r="M334" s="1"/>
    </row>
    <row r="335" spans="1:13">
      <c r="A335" s="30">
        <v>333</v>
      </c>
      <c r="B335" s="1" t="s">
        <v>2043</v>
      </c>
      <c r="C335" s="28" t="s">
        <v>2234</v>
      </c>
      <c r="D335" s="1" t="s">
        <v>10</v>
      </c>
      <c r="E335" s="1" t="s">
        <v>2568</v>
      </c>
      <c r="F335" s="168">
        <v>128.9</v>
      </c>
      <c r="G335" s="168">
        <v>29.8</v>
      </c>
      <c r="H335" s="168">
        <v>2</v>
      </c>
      <c r="I335" s="168">
        <v>34</v>
      </c>
      <c r="J335" s="168"/>
      <c r="K335" s="168">
        <v>2.7</v>
      </c>
      <c r="L335" s="168"/>
      <c r="M335" s="1"/>
    </row>
    <row r="336" spans="1:13">
      <c r="A336" s="30">
        <v>334</v>
      </c>
      <c r="B336" s="1" t="s">
        <v>2044</v>
      </c>
      <c r="C336" s="28" t="s">
        <v>2234</v>
      </c>
      <c r="D336" s="1" t="s">
        <v>10</v>
      </c>
      <c r="E336" s="1" t="s">
        <v>2569</v>
      </c>
      <c r="F336" s="168">
        <v>131.4</v>
      </c>
      <c r="G336" s="168">
        <v>29.8</v>
      </c>
      <c r="H336" s="168">
        <v>2</v>
      </c>
      <c r="I336" s="168">
        <v>34</v>
      </c>
      <c r="J336" s="168"/>
      <c r="K336" s="168">
        <v>2.7</v>
      </c>
      <c r="L336" s="168"/>
      <c r="M336" s="1"/>
    </row>
    <row r="337" spans="1:13">
      <c r="A337" s="30">
        <v>335</v>
      </c>
      <c r="B337" s="1" t="s">
        <v>2045</v>
      </c>
      <c r="C337" s="28" t="s">
        <v>2234</v>
      </c>
      <c r="D337" s="1" t="s">
        <v>10</v>
      </c>
      <c r="E337" s="1" t="s">
        <v>2570</v>
      </c>
      <c r="F337" s="168">
        <v>148.9</v>
      </c>
      <c r="G337" s="168">
        <v>15.2</v>
      </c>
      <c r="H337" s="168">
        <v>2</v>
      </c>
      <c r="I337" s="168">
        <v>60</v>
      </c>
      <c r="J337" s="168"/>
      <c r="K337" s="168">
        <v>2.7</v>
      </c>
      <c r="L337" s="168"/>
      <c r="M337" s="1"/>
    </row>
    <row r="338" spans="1:13">
      <c r="A338" s="30">
        <v>336</v>
      </c>
      <c r="B338" s="1" t="s">
        <v>2046</v>
      </c>
      <c r="C338" s="28" t="s">
        <v>2234</v>
      </c>
      <c r="D338" s="1" t="s">
        <v>10</v>
      </c>
      <c r="E338" s="1" t="s">
        <v>2571</v>
      </c>
      <c r="F338" s="168">
        <v>151.4</v>
      </c>
      <c r="G338" s="168">
        <v>15.2</v>
      </c>
      <c r="H338" s="168">
        <v>2</v>
      </c>
      <c r="I338" s="168">
        <v>60</v>
      </c>
      <c r="J338" s="168"/>
      <c r="K338" s="168">
        <v>2.7</v>
      </c>
      <c r="L338" s="168"/>
      <c r="M338" s="1"/>
    </row>
    <row r="339" spans="1:13">
      <c r="A339" s="30">
        <v>337</v>
      </c>
      <c r="B339" s="1" t="s">
        <v>2047</v>
      </c>
      <c r="C339" s="28" t="s">
        <v>2234</v>
      </c>
      <c r="D339" s="1" t="s">
        <v>10</v>
      </c>
      <c r="E339" s="1" t="s">
        <v>2572</v>
      </c>
      <c r="F339" s="168">
        <v>164.1</v>
      </c>
      <c r="G339" s="168">
        <v>29.8</v>
      </c>
      <c r="H339" s="168">
        <v>2</v>
      </c>
      <c r="I339" s="168">
        <v>34</v>
      </c>
      <c r="J339" s="168"/>
      <c r="K339" s="168">
        <v>2.7</v>
      </c>
      <c r="L339" s="168"/>
      <c r="M339" s="1"/>
    </row>
    <row r="340" spans="1:13">
      <c r="A340" s="30">
        <v>338</v>
      </c>
      <c r="B340" s="1" t="s">
        <v>2048</v>
      </c>
      <c r="C340" s="28" t="s">
        <v>2234</v>
      </c>
      <c r="D340" s="1" t="s">
        <v>10</v>
      </c>
      <c r="E340" s="1" t="s">
        <v>2573</v>
      </c>
      <c r="F340" s="168">
        <v>166.7</v>
      </c>
      <c r="G340" s="168">
        <v>29.8</v>
      </c>
      <c r="H340" s="168">
        <v>2</v>
      </c>
      <c r="I340" s="168">
        <v>34</v>
      </c>
      <c r="J340" s="168"/>
      <c r="K340" s="168">
        <v>2.7</v>
      </c>
      <c r="L340" s="168"/>
      <c r="M340" s="1"/>
    </row>
    <row r="341" spans="1:13">
      <c r="A341" s="30">
        <v>339</v>
      </c>
      <c r="B341" s="1" t="s">
        <v>2049</v>
      </c>
      <c r="C341" s="28" t="s">
        <v>2234</v>
      </c>
      <c r="D341" s="1" t="s">
        <v>10</v>
      </c>
      <c r="E341" s="1" t="s">
        <v>2574</v>
      </c>
      <c r="F341" s="168">
        <v>20</v>
      </c>
      <c r="G341" s="168">
        <v>6</v>
      </c>
      <c r="H341" s="168">
        <v>2</v>
      </c>
      <c r="I341" s="168">
        <v>40</v>
      </c>
      <c r="J341" s="168"/>
      <c r="K341" s="168">
        <v>2.7</v>
      </c>
      <c r="L341" s="168"/>
      <c r="M341" s="1"/>
    </row>
    <row r="342" spans="1:13">
      <c r="A342" s="30">
        <v>340</v>
      </c>
      <c r="B342" s="1" t="s">
        <v>2050</v>
      </c>
      <c r="C342" s="28" t="s">
        <v>2234</v>
      </c>
      <c r="D342" s="1" t="s">
        <v>10</v>
      </c>
      <c r="E342" s="1" t="s">
        <v>2575</v>
      </c>
      <c r="F342" s="168">
        <v>30.5</v>
      </c>
      <c r="G342" s="168">
        <v>30.5</v>
      </c>
      <c r="H342" s="168">
        <v>1.2</v>
      </c>
      <c r="I342" s="168">
        <v>189</v>
      </c>
      <c r="J342" s="168"/>
      <c r="K342" s="168">
        <v>2.7</v>
      </c>
      <c r="L342" s="168"/>
      <c r="M342" s="1"/>
    </row>
    <row r="343" spans="1:13">
      <c r="A343" s="30">
        <v>341</v>
      </c>
      <c r="B343" s="1" t="s">
        <v>2051</v>
      </c>
      <c r="C343" s="28" t="s">
        <v>2234</v>
      </c>
      <c r="D343" s="1" t="s">
        <v>10</v>
      </c>
      <c r="E343" s="1" t="s">
        <v>2576</v>
      </c>
      <c r="F343" s="168">
        <v>61</v>
      </c>
      <c r="G343" s="168">
        <v>20.3</v>
      </c>
      <c r="H343" s="168">
        <v>1.5</v>
      </c>
      <c r="I343" s="168">
        <v>82</v>
      </c>
      <c r="J343" s="168"/>
      <c r="K343" s="168">
        <v>2.7</v>
      </c>
      <c r="L343" s="168"/>
      <c r="M343" s="1"/>
    </row>
    <row r="344" spans="1:13">
      <c r="A344" s="30">
        <v>342</v>
      </c>
      <c r="B344" s="1" t="s">
        <v>2052</v>
      </c>
      <c r="C344" s="28" t="s">
        <v>2234</v>
      </c>
      <c r="D344" s="1" t="s">
        <v>10</v>
      </c>
      <c r="E344" s="1" t="s">
        <v>2577</v>
      </c>
      <c r="F344" s="168">
        <v>61</v>
      </c>
      <c r="G344" s="168">
        <v>27.9</v>
      </c>
      <c r="H344" s="168">
        <v>1.5</v>
      </c>
      <c r="I344" s="168">
        <v>77</v>
      </c>
      <c r="J344" s="168"/>
      <c r="K344" s="168">
        <v>2.7</v>
      </c>
      <c r="L344" s="168"/>
      <c r="M344" s="1"/>
    </row>
    <row r="345" spans="1:13">
      <c r="A345" s="30">
        <v>343</v>
      </c>
      <c r="B345" s="1" t="s">
        <v>2053</v>
      </c>
      <c r="C345" s="28" t="s">
        <v>2234</v>
      </c>
      <c r="D345" s="1" t="s">
        <v>10</v>
      </c>
      <c r="E345" s="1" t="s">
        <v>2578</v>
      </c>
      <c r="F345" s="168">
        <v>61</v>
      </c>
      <c r="G345" s="168">
        <v>30.5</v>
      </c>
      <c r="H345" s="168">
        <v>1.2</v>
      </c>
      <c r="I345" s="168">
        <v>140</v>
      </c>
      <c r="J345" s="168"/>
      <c r="K345" s="168">
        <v>2.7</v>
      </c>
      <c r="L345" s="168"/>
      <c r="M345" s="1"/>
    </row>
    <row r="346" spans="1:13">
      <c r="A346" s="30">
        <v>344</v>
      </c>
      <c r="B346" s="1" t="s">
        <v>2054</v>
      </c>
      <c r="C346" s="28" t="s">
        <v>2234</v>
      </c>
      <c r="D346" s="1" t="s">
        <v>10</v>
      </c>
      <c r="E346" s="1" t="s">
        <v>2579</v>
      </c>
      <c r="F346" s="168">
        <v>61</v>
      </c>
      <c r="G346" s="168">
        <v>30.5</v>
      </c>
      <c r="H346" s="168">
        <v>1.5</v>
      </c>
      <c r="I346" s="168">
        <v>120</v>
      </c>
      <c r="J346" s="168"/>
      <c r="K346" s="168">
        <v>2.7</v>
      </c>
      <c r="L346" s="168"/>
      <c r="M346" s="1"/>
    </row>
    <row r="347" spans="1:13">
      <c r="A347" s="30">
        <v>345</v>
      </c>
      <c r="B347" s="1" t="s">
        <v>2055</v>
      </c>
      <c r="C347" s="28" t="s">
        <v>2234</v>
      </c>
      <c r="D347" s="1" t="s">
        <v>10</v>
      </c>
      <c r="E347" s="1" t="s">
        <v>2580</v>
      </c>
      <c r="F347" s="168">
        <v>61</v>
      </c>
      <c r="G347" s="168">
        <v>35.6</v>
      </c>
      <c r="H347" s="168">
        <v>1.5</v>
      </c>
      <c r="I347" s="168">
        <v>88</v>
      </c>
      <c r="J347" s="168"/>
      <c r="K347" s="168">
        <v>2.7</v>
      </c>
      <c r="L347" s="168"/>
      <c r="M347" s="1"/>
    </row>
    <row r="348" spans="1:13">
      <c r="A348" s="30">
        <v>346</v>
      </c>
      <c r="B348" s="1" t="s">
        <v>2056</v>
      </c>
      <c r="C348" s="28" t="s">
        <v>2234</v>
      </c>
      <c r="D348" s="1" t="s">
        <v>10</v>
      </c>
      <c r="E348" s="1" t="s">
        <v>2581</v>
      </c>
      <c r="F348" s="168">
        <v>61</v>
      </c>
      <c r="G348" s="168">
        <v>45.7</v>
      </c>
      <c r="H348" s="168">
        <v>1.5</v>
      </c>
      <c r="I348" s="168">
        <v>85</v>
      </c>
      <c r="J348" s="168"/>
      <c r="K348" s="168">
        <v>2.7</v>
      </c>
      <c r="L348" s="168"/>
      <c r="M348" s="1"/>
    </row>
    <row r="349" spans="1:13">
      <c r="A349" s="30">
        <v>347</v>
      </c>
      <c r="B349" s="1" t="s">
        <v>2057</v>
      </c>
      <c r="C349" s="28" t="s">
        <v>2234</v>
      </c>
      <c r="D349" s="1" t="s">
        <v>10</v>
      </c>
      <c r="E349" s="1" t="s">
        <v>2582</v>
      </c>
      <c r="F349" s="168">
        <v>61</v>
      </c>
      <c r="G349" s="168">
        <v>61</v>
      </c>
      <c r="H349" s="168">
        <v>1.5</v>
      </c>
      <c r="I349" s="168">
        <v>60</v>
      </c>
      <c r="J349" s="168"/>
      <c r="K349" s="168">
        <v>2.7</v>
      </c>
      <c r="L349" s="168"/>
      <c r="M349" s="1"/>
    </row>
    <row r="350" spans="1:13">
      <c r="A350" s="30">
        <v>348</v>
      </c>
      <c r="B350" s="1" t="s">
        <v>2058</v>
      </c>
      <c r="C350" s="28" t="s">
        <v>2234</v>
      </c>
      <c r="D350" s="1" t="s">
        <v>10</v>
      </c>
      <c r="E350" s="1" t="s">
        <v>2583</v>
      </c>
      <c r="F350" s="168">
        <v>81.3</v>
      </c>
      <c r="G350" s="168">
        <v>45.7</v>
      </c>
      <c r="H350" s="168">
        <v>2</v>
      </c>
      <c r="I350" s="168">
        <v>57</v>
      </c>
      <c r="J350" s="168"/>
      <c r="K350" s="168">
        <v>2.7</v>
      </c>
      <c r="L350" s="168"/>
      <c r="M350" s="1"/>
    </row>
    <row r="351" spans="1:13">
      <c r="A351" s="30">
        <v>349</v>
      </c>
      <c r="B351" s="1" t="s">
        <v>2059</v>
      </c>
      <c r="C351" s="28" t="s">
        <v>2234</v>
      </c>
      <c r="D351" s="1" t="s">
        <v>10</v>
      </c>
      <c r="E351" s="1" t="s">
        <v>2584</v>
      </c>
      <c r="F351" s="168">
        <v>86.4</v>
      </c>
      <c r="G351" s="168">
        <v>50.8</v>
      </c>
      <c r="H351" s="168">
        <v>2</v>
      </c>
      <c r="I351" s="168">
        <v>60</v>
      </c>
      <c r="J351" s="168"/>
      <c r="K351" s="168">
        <v>2.7</v>
      </c>
      <c r="L351" s="168"/>
      <c r="M351" s="1"/>
    </row>
    <row r="352" spans="1:13">
      <c r="A352" s="30">
        <v>350</v>
      </c>
      <c r="B352" s="1" t="s">
        <v>2060</v>
      </c>
      <c r="C352" s="28" t="s">
        <v>2234</v>
      </c>
      <c r="D352" s="1" t="s">
        <v>10</v>
      </c>
      <c r="E352" s="1" t="s">
        <v>2585</v>
      </c>
      <c r="F352" s="168">
        <v>91.4</v>
      </c>
      <c r="G352" s="168">
        <v>45.7</v>
      </c>
      <c r="H352" s="168">
        <v>2</v>
      </c>
      <c r="I352" s="168">
        <v>57</v>
      </c>
      <c r="J352" s="168"/>
      <c r="K352" s="168">
        <v>2.7</v>
      </c>
      <c r="L352" s="168"/>
      <c r="M352" s="1"/>
    </row>
    <row r="353" spans="1:13">
      <c r="A353" s="30">
        <v>351</v>
      </c>
      <c r="B353" s="1" t="s">
        <v>2061</v>
      </c>
      <c r="C353" s="28" t="s">
        <v>2234</v>
      </c>
      <c r="D353" s="1" t="s">
        <v>10</v>
      </c>
      <c r="E353" s="1" t="s">
        <v>2586</v>
      </c>
      <c r="F353" s="168">
        <v>91.5</v>
      </c>
      <c r="G353" s="168">
        <v>30.5</v>
      </c>
      <c r="H353" s="168">
        <v>1.5</v>
      </c>
      <c r="I353" s="168">
        <v>84</v>
      </c>
      <c r="J353" s="168"/>
      <c r="K353" s="168">
        <v>2.7</v>
      </c>
      <c r="L353" s="168"/>
      <c r="M353" s="1"/>
    </row>
    <row r="354" spans="1:13">
      <c r="A354" s="30">
        <v>352</v>
      </c>
      <c r="B354" s="1" t="s">
        <v>2062</v>
      </c>
      <c r="C354" s="28" t="s">
        <v>2234</v>
      </c>
      <c r="D354" s="1" t="s">
        <v>10</v>
      </c>
      <c r="E354" s="1" t="s">
        <v>2587</v>
      </c>
      <c r="F354" s="168">
        <v>20</v>
      </c>
      <c r="G354" s="168">
        <v>6</v>
      </c>
      <c r="H354" s="168">
        <v>2</v>
      </c>
      <c r="I354" s="168">
        <v>40</v>
      </c>
      <c r="J354" s="168"/>
      <c r="K354" s="168">
        <v>2.7</v>
      </c>
      <c r="L354" s="168"/>
      <c r="M354" s="1"/>
    </row>
    <row r="355" spans="1:13">
      <c r="A355" s="30">
        <v>353</v>
      </c>
      <c r="B355" s="1" t="s">
        <v>2063</v>
      </c>
      <c r="C355" s="28" t="s">
        <v>2234</v>
      </c>
      <c r="D355" s="1" t="s">
        <v>10</v>
      </c>
      <c r="E355" s="1" t="s">
        <v>2588</v>
      </c>
      <c r="F355" s="168">
        <v>20</v>
      </c>
      <c r="G355" s="168">
        <v>6</v>
      </c>
      <c r="H355" s="168">
        <v>2</v>
      </c>
      <c r="I355" s="168">
        <v>40</v>
      </c>
      <c r="J355" s="168"/>
      <c r="K355" s="168">
        <v>2.7</v>
      </c>
      <c r="L355" s="168"/>
      <c r="M355" s="1"/>
    </row>
    <row r="356" spans="1:13">
      <c r="A356" s="30">
        <v>354</v>
      </c>
      <c r="B356" s="1" t="s">
        <v>2064</v>
      </c>
      <c r="C356" s="28" t="s">
        <v>2234</v>
      </c>
      <c r="D356" s="1" t="s">
        <v>30</v>
      </c>
      <c r="E356" s="1" t="s">
        <v>2589</v>
      </c>
      <c r="F356" s="168">
        <v>154.9</v>
      </c>
      <c r="G356" s="168">
        <v>15.2</v>
      </c>
      <c r="H356" s="168">
        <v>3</v>
      </c>
      <c r="I356" s="168">
        <v>4</v>
      </c>
      <c r="J356" s="168"/>
      <c r="K356" s="168">
        <v>2.7</v>
      </c>
      <c r="L356" s="168"/>
      <c r="M356" s="1"/>
    </row>
    <row r="357" spans="1:13">
      <c r="A357" s="30">
        <v>355</v>
      </c>
      <c r="B357" s="1" t="s">
        <v>2065</v>
      </c>
      <c r="C357" s="28" t="s">
        <v>2234</v>
      </c>
      <c r="D357" s="1" t="s">
        <v>30</v>
      </c>
      <c r="E357" s="1" t="s">
        <v>2590</v>
      </c>
      <c r="F357" s="168">
        <v>182.9</v>
      </c>
      <c r="G357" s="168">
        <v>15.2</v>
      </c>
      <c r="H357" s="168">
        <v>3</v>
      </c>
      <c r="I357" s="168">
        <v>4</v>
      </c>
      <c r="J357" s="168"/>
      <c r="K357" s="168">
        <v>2.7</v>
      </c>
      <c r="L357" s="168"/>
      <c r="M357" s="1"/>
    </row>
    <row r="358" spans="1:13">
      <c r="A358" s="30">
        <v>356</v>
      </c>
      <c r="B358" s="1" t="s">
        <v>2066</v>
      </c>
      <c r="C358" s="28" t="s">
        <v>2234</v>
      </c>
      <c r="D358" s="1" t="s">
        <v>30</v>
      </c>
      <c r="E358" s="1" t="s">
        <v>2591</v>
      </c>
      <c r="F358" s="168">
        <v>160</v>
      </c>
      <c r="G358" s="168">
        <v>80</v>
      </c>
      <c r="H358" s="168">
        <v>2</v>
      </c>
      <c r="I358" s="168">
        <v>14</v>
      </c>
      <c r="J358" s="168"/>
      <c r="K358" s="168">
        <v>2.7</v>
      </c>
      <c r="L358" s="168"/>
      <c r="M358" s="1"/>
    </row>
    <row r="359" spans="1:13">
      <c r="A359" s="30">
        <v>357</v>
      </c>
      <c r="B359" s="1" t="s">
        <v>2067</v>
      </c>
      <c r="C359" s="28" t="s">
        <v>2234</v>
      </c>
      <c r="D359" s="1" t="s">
        <v>30</v>
      </c>
      <c r="E359" s="1" t="s">
        <v>2592</v>
      </c>
      <c r="F359" s="168">
        <v>200</v>
      </c>
      <c r="G359" s="168">
        <v>64</v>
      </c>
      <c r="H359" s="168">
        <v>2</v>
      </c>
      <c r="I359" s="168">
        <v>20</v>
      </c>
      <c r="J359" s="168"/>
      <c r="K359" s="168">
        <v>2.7</v>
      </c>
      <c r="L359" s="168"/>
      <c r="M359" s="1"/>
    </row>
    <row r="360" spans="1:13">
      <c r="A360" s="30">
        <v>358</v>
      </c>
      <c r="B360" s="1" t="s">
        <v>2068</v>
      </c>
      <c r="C360" s="28" t="s">
        <v>2234</v>
      </c>
      <c r="D360" s="1" t="s">
        <v>39</v>
      </c>
      <c r="E360" s="1" t="s">
        <v>2593</v>
      </c>
      <c r="F360" s="168">
        <v>60</v>
      </c>
      <c r="G360" s="168">
        <v>50</v>
      </c>
      <c r="H360" s="168">
        <v>3</v>
      </c>
      <c r="I360" s="168">
        <v>30</v>
      </c>
      <c r="J360" s="168"/>
      <c r="K360" s="168">
        <v>2.7</v>
      </c>
      <c r="L360" s="168"/>
      <c r="M360" s="1"/>
    </row>
    <row r="361" spans="1:13">
      <c r="A361" s="30">
        <v>359</v>
      </c>
      <c r="B361" s="1" t="s">
        <v>2069</v>
      </c>
      <c r="C361" s="28" t="s">
        <v>2234</v>
      </c>
      <c r="D361" s="1" t="s">
        <v>1706</v>
      </c>
      <c r="E361" s="1" t="s">
        <v>2594</v>
      </c>
      <c r="F361" s="168">
        <v>40</v>
      </c>
      <c r="G361" s="168">
        <v>8</v>
      </c>
      <c r="H361" s="168">
        <v>1.2</v>
      </c>
      <c r="I361" s="168">
        <v>54</v>
      </c>
      <c r="J361" s="168"/>
      <c r="K361" s="168">
        <v>2.7</v>
      </c>
      <c r="L361" s="168"/>
      <c r="M361" s="1"/>
    </row>
    <row r="362" spans="1:13">
      <c r="A362" s="30">
        <v>360</v>
      </c>
      <c r="B362" s="1" t="s">
        <v>2070</v>
      </c>
      <c r="C362" s="28" t="s">
        <v>2234</v>
      </c>
      <c r="D362" s="1" t="s">
        <v>1706</v>
      </c>
      <c r="E362" s="1" t="s">
        <v>2595</v>
      </c>
      <c r="F362" s="168">
        <v>50</v>
      </c>
      <c r="G362" s="168">
        <v>8</v>
      </c>
      <c r="H362" s="168">
        <v>2</v>
      </c>
      <c r="I362" s="168">
        <v>44</v>
      </c>
      <c r="J362" s="168"/>
      <c r="K362" s="168">
        <v>2.7</v>
      </c>
      <c r="L362" s="168"/>
      <c r="M362" s="1"/>
    </row>
    <row r="363" spans="1:13">
      <c r="A363" s="30">
        <v>361</v>
      </c>
      <c r="B363" s="1" t="s">
        <v>2071</v>
      </c>
      <c r="C363" s="28" t="s">
        <v>2234</v>
      </c>
      <c r="D363" s="1" t="s">
        <v>1706</v>
      </c>
      <c r="E363" s="1" t="s">
        <v>2596</v>
      </c>
      <c r="F363" s="168">
        <v>60</v>
      </c>
      <c r="G363" s="168">
        <v>8</v>
      </c>
      <c r="H363" s="168">
        <v>1.2</v>
      </c>
      <c r="I363" s="168">
        <v>54</v>
      </c>
      <c r="J363" s="168"/>
      <c r="K363" s="168">
        <v>2.7</v>
      </c>
      <c r="L363" s="168"/>
      <c r="M363" s="1"/>
    </row>
    <row r="364" spans="1:13">
      <c r="A364" s="30">
        <v>362</v>
      </c>
      <c r="B364" s="1" t="s">
        <v>2072</v>
      </c>
      <c r="C364" s="28" t="s">
        <v>2234</v>
      </c>
      <c r="D364" s="1" t="s">
        <v>1706</v>
      </c>
      <c r="E364" s="1" t="s">
        <v>2597</v>
      </c>
      <c r="F364" s="168">
        <v>65</v>
      </c>
      <c r="G364" s="168">
        <v>8</v>
      </c>
      <c r="H364" s="168">
        <v>2</v>
      </c>
      <c r="I364" s="168">
        <v>44</v>
      </c>
      <c r="J364" s="168"/>
      <c r="K364" s="168">
        <v>2.7</v>
      </c>
      <c r="L364" s="168"/>
      <c r="M364" s="1"/>
    </row>
    <row r="365" spans="1:13">
      <c r="A365" s="30">
        <v>363</v>
      </c>
      <c r="B365" s="1" t="s">
        <v>2073</v>
      </c>
      <c r="C365" s="28" t="s">
        <v>2234</v>
      </c>
      <c r="D365" s="1" t="s">
        <v>1706</v>
      </c>
      <c r="E365" s="1" t="s">
        <v>2598</v>
      </c>
      <c r="F365" s="168">
        <v>80</v>
      </c>
      <c r="G365" s="168">
        <v>8</v>
      </c>
      <c r="H365" s="168">
        <v>1.2</v>
      </c>
      <c r="I365" s="168">
        <v>54</v>
      </c>
      <c r="J365" s="168"/>
      <c r="K365" s="168">
        <v>2.7</v>
      </c>
      <c r="L365" s="168"/>
      <c r="M365" s="1"/>
    </row>
    <row r="366" spans="1:13">
      <c r="A366" s="30">
        <v>364</v>
      </c>
      <c r="B366" s="1" t="s">
        <v>2074</v>
      </c>
      <c r="C366" s="28" t="s">
        <v>2234</v>
      </c>
      <c r="D366" s="1" t="s">
        <v>1706</v>
      </c>
      <c r="E366" s="1" t="s">
        <v>2599</v>
      </c>
      <c r="F366" s="168">
        <v>80</v>
      </c>
      <c r="G366" s="168">
        <v>8</v>
      </c>
      <c r="H366" s="168">
        <v>2</v>
      </c>
      <c r="I366" s="168">
        <v>44</v>
      </c>
      <c r="J366" s="168"/>
      <c r="K366" s="168">
        <v>2.7</v>
      </c>
      <c r="L366" s="168"/>
      <c r="M366" s="1"/>
    </row>
    <row r="367" spans="1:13">
      <c r="A367" s="30">
        <v>365</v>
      </c>
      <c r="B367" s="1" t="s">
        <v>2075</v>
      </c>
      <c r="C367" s="28" t="s">
        <v>2234</v>
      </c>
      <c r="D367" s="1" t="s">
        <v>1699</v>
      </c>
      <c r="E367" s="1" t="s">
        <v>2600</v>
      </c>
      <c r="F367" s="168">
        <v>100</v>
      </c>
      <c r="G367" s="168">
        <v>26.5</v>
      </c>
      <c r="H367" s="168">
        <v>3</v>
      </c>
      <c r="I367" s="168">
        <v>44</v>
      </c>
      <c r="J367" s="168"/>
      <c r="K367" s="168">
        <v>2.7</v>
      </c>
      <c r="L367" s="168"/>
      <c r="M367" s="1"/>
    </row>
    <row r="368" spans="1:13">
      <c r="A368" s="30">
        <v>366</v>
      </c>
      <c r="B368" s="1" t="s">
        <v>2076</v>
      </c>
      <c r="C368" s="28" t="s">
        <v>2234</v>
      </c>
      <c r="D368" s="1" t="s">
        <v>1699</v>
      </c>
      <c r="E368" s="1" t="s">
        <v>2601</v>
      </c>
      <c r="F368" s="168">
        <v>160</v>
      </c>
      <c r="G368" s="168">
        <v>26.5</v>
      </c>
      <c r="H368" s="168">
        <v>3</v>
      </c>
      <c r="I368" s="168">
        <v>44</v>
      </c>
      <c r="J368" s="168"/>
      <c r="K368" s="168">
        <v>2.7</v>
      </c>
      <c r="L368" s="168"/>
      <c r="M368" s="1"/>
    </row>
    <row r="369" spans="1:13">
      <c r="A369" s="30">
        <v>367</v>
      </c>
      <c r="B369" s="1" t="s">
        <v>2077</v>
      </c>
      <c r="C369" s="28" t="s">
        <v>2234</v>
      </c>
      <c r="D369" s="1" t="s">
        <v>1699</v>
      </c>
      <c r="E369" s="1" t="s">
        <v>2602</v>
      </c>
      <c r="F369" s="168">
        <v>50</v>
      </c>
      <c r="G369" s="168">
        <v>26.5</v>
      </c>
      <c r="H369" s="168">
        <v>3</v>
      </c>
      <c r="I369" s="168">
        <v>44</v>
      </c>
      <c r="J369" s="168"/>
      <c r="K369" s="168">
        <v>2.7</v>
      </c>
      <c r="L369" s="168"/>
      <c r="M369" s="1"/>
    </row>
    <row r="370" spans="1:13">
      <c r="A370" s="30">
        <v>368</v>
      </c>
      <c r="B370" s="1" t="s">
        <v>2078</v>
      </c>
      <c r="C370" s="28" t="s">
        <v>2234</v>
      </c>
      <c r="D370" s="1" t="s">
        <v>1700</v>
      </c>
      <c r="E370" s="1" t="s">
        <v>2603</v>
      </c>
      <c r="F370" s="168">
        <v>142</v>
      </c>
      <c r="G370" s="168">
        <v>13.5</v>
      </c>
      <c r="H370" s="168">
        <v>2</v>
      </c>
      <c r="I370" s="168">
        <v>44</v>
      </c>
      <c r="J370" s="168"/>
      <c r="K370" s="168">
        <v>2.7</v>
      </c>
      <c r="L370" s="168"/>
      <c r="M370" s="1"/>
    </row>
    <row r="371" spans="1:13">
      <c r="A371" s="30">
        <v>369</v>
      </c>
      <c r="B371" s="1" t="s">
        <v>2079</v>
      </c>
      <c r="C371" s="28" t="s">
        <v>2234</v>
      </c>
      <c r="D371" s="1" t="s">
        <v>1700</v>
      </c>
      <c r="E371" s="1" t="s">
        <v>2604</v>
      </c>
      <c r="F371" s="168">
        <v>142</v>
      </c>
      <c r="G371" s="168">
        <v>18.5</v>
      </c>
      <c r="H371" s="168">
        <v>2</v>
      </c>
      <c r="I371" s="168">
        <v>44</v>
      </c>
      <c r="J371" s="168"/>
      <c r="K371" s="168">
        <v>2.7</v>
      </c>
      <c r="L371" s="168"/>
      <c r="M371" s="1"/>
    </row>
    <row r="372" spans="1:13">
      <c r="A372" s="30">
        <v>370</v>
      </c>
      <c r="B372" s="1" t="s">
        <v>2080</v>
      </c>
      <c r="C372" s="28" t="s">
        <v>2234</v>
      </c>
      <c r="D372" s="1" t="s">
        <v>1700</v>
      </c>
      <c r="E372" s="1" t="s">
        <v>2605</v>
      </c>
      <c r="F372" s="168">
        <v>158</v>
      </c>
      <c r="G372" s="168">
        <v>13.5</v>
      </c>
      <c r="H372" s="168">
        <v>2</v>
      </c>
      <c r="I372" s="168">
        <v>44</v>
      </c>
      <c r="J372" s="168"/>
      <c r="K372" s="168">
        <v>2.7</v>
      </c>
      <c r="L372" s="168"/>
      <c r="M372" s="1"/>
    </row>
    <row r="373" spans="1:13">
      <c r="A373" s="30">
        <v>371</v>
      </c>
      <c r="B373" s="1" t="s">
        <v>2081</v>
      </c>
      <c r="C373" s="28" t="s">
        <v>2234</v>
      </c>
      <c r="D373" s="1" t="s">
        <v>1700</v>
      </c>
      <c r="E373" s="1" t="s">
        <v>2606</v>
      </c>
      <c r="F373" s="168">
        <v>142</v>
      </c>
      <c r="G373" s="168">
        <v>34</v>
      </c>
      <c r="H373" s="168">
        <v>3</v>
      </c>
      <c r="I373" s="168">
        <v>44</v>
      </c>
      <c r="J373" s="168"/>
      <c r="K373" s="168">
        <v>2.7</v>
      </c>
      <c r="L373" s="168"/>
      <c r="M373" s="1"/>
    </row>
    <row r="374" spans="1:13">
      <c r="A374" s="30">
        <v>372</v>
      </c>
      <c r="B374" s="1" t="s">
        <v>2082</v>
      </c>
      <c r="C374" s="28" t="s">
        <v>2234</v>
      </c>
      <c r="D374" s="1" t="s">
        <v>1700</v>
      </c>
      <c r="E374" s="1" t="s">
        <v>2607</v>
      </c>
      <c r="F374" s="168">
        <v>142</v>
      </c>
      <c r="G374" s="168">
        <v>70</v>
      </c>
      <c r="H374" s="168">
        <v>3</v>
      </c>
      <c r="I374" s="168">
        <v>44</v>
      </c>
      <c r="J374" s="168"/>
      <c r="K374" s="168">
        <v>2.7</v>
      </c>
      <c r="L374" s="168"/>
      <c r="M374" s="1"/>
    </row>
    <row r="375" spans="1:13">
      <c r="A375" s="30">
        <v>373</v>
      </c>
      <c r="B375" s="1" t="s">
        <v>2083</v>
      </c>
      <c r="C375" s="28" t="s">
        <v>2234</v>
      </c>
      <c r="D375" s="1" t="s">
        <v>1700</v>
      </c>
      <c r="E375" s="1" t="s">
        <v>2608</v>
      </c>
      <c r="F375" s="168">
        <v>145</v>
      </c>
      <c r="G375" s="168">
        <v>68</v>
      </c>
      <c r="H375" s="168">
        <v>3</v>
      </c>
      <c r="I375" s="168">
        <v>44</v>
      </c>
      <c r="J375" s="168"/>
      <c r="K375" s="168">
        <v>2.7</v>
      </c>
      <c r="L375" s="168"/>
      <c r="M375" s="1"/>
    </row>
    <row r="376" spans="1:13">
      <c r="A376" s="30">
        <v>374</v>
      </c>
      <c r="B376" s="1" t="s">
        <v>2084</v>
      </c>
      <c r="C376" s="28" t="s">
        <v>2234</v>
      </c>
      <c r="D376" s="1" t="s">
        <v>1700</v>
      </c>
      <c r="E376" s="1" t="s">
        <v>2609</v>
      </c>
      <c r="F376" s="168">
        <v>148</v>
      </c>
      <c r="G376" s="168">
        <v>59</v>
      </c>
      <c r="H376" s="168">
        <v>3</v>
      </c>
      <c r="I376" s="168">
        <v>44</v>
      </c>
      <c r="J376" s="168"/>
      <c r="K376" s="168">
        <v>2.7</v>
      </c>
      <c r="L376" s="168"/>
      <c r="M376" s="1"/>
    </row>
    <row r="377" spans="1:13">
      <c r="A377" s="30">
        <v>375</v>
      </c>
      <c r="B377" s="1" t="s">
        <v>2085</v>
      </c>
      <c r="C377" s="28" t="s">
        <v>2234</v>
      </c>
      <c r="D377" s="1" t="s">
        <v>1701</v>
      </c>
      <c r="E377" s="1" t="s">
        <v>2610</v>
      </c>
      <c r="F377" s="168">
        <v>35</v>
      </c>
      <c r="G377" s="168">
        <v>17</v>
      </c>
      <c r="H377" s="168">
        <v>15</v>
      </c>
      <c r="I377" s="168">
        <v>72</v>
      </c>
      <c r="J377" s="168"/>
      <c r="K377" s="168">
        <v>2.7</v>
      </c>
      <c r="L377" s="168"/>
      <c r="M377" s="1"/>
    </row>
    <row r="378" spans="1:13">
      <c r="A378" s="30">
        <v>376</v>
      </c>
      <c r="B378" s="1" t="s">
        <v>2086</v>
      </c>
      <c r="C378" s="28" t="s">
        <v>2234</v>
      </c>
      <c r="D378" s="1" t="s">
        <v>1701</v>
      </c>
      <c r="E378" s="1" t="s">
        <v>2611</v>
      </c>
      <c r="F378" s="168">
        <v>40</v>
      </c>
      <c r="G378" s="168">
        <v>20</v>
      </c>
      <c r="H378" s="168">
        <v>10</v>
      </c>
      <c r="I378" s="168">
        <v>60</v>
      </c>
      <c r="J378" s="168"/>
      <c r="K378" s="168">
        <v>2.7</v>
      </c>
      <c r="L378" s="168"/>
      <c r="M378" s="1"/>
    </row>
    <row r="379" spans="1:13">
      <c r="A379" s="30">
        <v>377</v>
      </c>
      <c r="B379" s="1" t="s">
        <v>2087</v>
      </c>
      <c r="C379" s="28" t="s">
        <v>2234</v>
      </c>
      <c r="D379" s="1" t="s">
        <v>40</v>
      </c>
      <c r="E379" s="1" t="s">
        <v>2858</v>
      </c>
      <c r="F379" s="168">
        <v>45</v>
      </c>
      <c r="G379" s="168">
        <v>20</v>
      </c>
      <c r="H379" s="168">
        <v>15</v>
      </c>
      <c r="I379" s="168">
        <v>30</v>
      </c>
      <c r="J379" s="168"/>
      <c r="K379" s="168">
        <v>2.7</v>
      </c>
      <c r="L379" s="168"/>
      <c r="M379" s="1" t="s">
        <v>1707</v>
      </c>
    </row>
    <row r="380" spans="1:13">
      <c r="A380" s="30">
        <v>378</v>
      </c>
      <c r="B380" s="1" t="s">
        <v>2088</v>
      </c>
      <c r="C380" s="28" t="s">
        <v>2234</v>
      </c>
      <c r="D380" s="1" t="s">
        <v>40</v>
      </c>
      <c r="E380" s="1" t="s">
        <v>2859</v>
      </c>
      <c r="F380" s="168">
        <v>45</v>
      </c>
      <c r="G380" s="168">
        <v>20</v>
      </c>
      <c r="H380" s="168">
        <v>22.5</v>
      </c>
      <c r="I380" s="168">
        <v>21</v>
      </c>
      <c r="J380" s="168"/>
      <c r="K380" s="168">
        <v>2.7</v>
      </c>
      <c r="L380" s="168"/>
      <c r="M380" s="1" t="s">
        <v>1708</v>
      </c>
    </row>
    <row r="381" spans="1:13">
      <c r="A381" s="30">
        <v>379</v>
      </c>
      <c r="B381" s="1" t="s">
        <v>2089</v>
      </c>
      <c r="C381" s="28" t="s">
        <v>2234</v>
      </c>
      <c r="D381" s="1" t="s">
        <v>40</v>
      </c>
      <c r="E381" s="1" t="s">
        <v>2860</v>
      </c>
      <c r="F381" s="168">
        <v>45</v>
      </c>
      <c r="G381" s="168">
        <v>20</v>
      </c>
      <c r="H381" s="168">
        <v>7.5</v>
      </c>
      <c r="I381" s="168">
        <v>60</v>
      </c>
      <c r="J381" s="168"/>
      <c r="K381" s="168">
        <v>2.7</v>
      </c>
      <c r="L381" s="168"/>
      <c r="M381" s="1" t="s">
        <v>1709</v>
      </c>
    </row>
    <row r="382" spans="1:13">
      <c r="A382" s="30">
        <v>380</v>
      </c>
      <c r="B382" s="1" t="s">
        <v>2090</v>
      </c>
      <c r="C382" s="28" t="s">
        <v>2236</v>
      </c>
      <c r="D382" s="1" t="s">
        <v>1696</v>
      </c>
      <c r="E382" s="1" t="s">
        <v>2612</v>
      </c>
      <c r="F382" s="168">
        <v>9</v>
      </c>
      <c r="G382" s="168">
        <v>9</v>
      </c>
      <c r="H382" s="168">
        <v>9</v>
      </c>
      <c r="I382" s="168">
        <v>500</v>
      </c>
      <c r="J382" s="168"/>
      <c r="K382" s="168">
        <v>2.7</v>
      </c>
      <c r="L382" s="168"/>
      <c r="M382" s="1"/>
    </row>
    <row r="383" spans="1:13">
      <c r="A383" s="30">
        <v>381</v>
      </c>
      <c r="B383" s="1" t="s">
        <v>2091</v>
      </c>
      <c r="C383" s="28" t="s">
        <v>2236</v>
      </c>
      <c r="D383" s="1" t="s">
        <v>1696</v>
      </c>
      <c r="E383" s="1" t="s">
        <v>2613</v>
      </c>
      <c r="F383" s="168">
        <v>19</v>
      </c>
      <c r="G383" s="168">
        <v>9</v>
      </c>
      <c r="H383" s="168">
        <v>9</v>
      </c>
      <c r="I383" s="168">
        <v>250</v>
      </c>
      <c r="J383" s="168"/>
      <c r="K383" s="168">
        <v>2.7</v>
      </c>
      <c r="L383" s="168"/>
      <c r="M383" s="1"/>
    </row>
    <row r="384" spans="1:13">
      <c r="A384" s="30">
        <v>382</v>
      </c>
      <c r="B384" s="1" t="s">
        <v>2092</v>
      </c>
      <c r="C384" s="28" t="s">
        <v>2236</v>
      </c>
      <c r="D384" s="1" t="s">
        <v>1696</v>
      </c>
      <c r="E384" s="1" t="s">
        <v>2614</v>
      </c>
      <c r="F384" s="168">
        <v>29</v>
      </c>
      <c r="G384" s="168">
        <v>9</v>
      </c>
      <c r="H384" s="168">
        <v>9</v>
      </c>
      <c r="I384" s="168">
        <v>180</v>
      </c>
      <c r="J384" s="168"/>
      <c r="K384" s="168">
        <v>2.7</v>
      </c>
      <c r="L384" s="168"/>
      <c r="M384" s="1"/>
    </row>
    <row r="385" spans="1:13">
      <c r="A385" s="30">
        <v>383</v>
      </c>
      <c r="B385" s="1" t="s">
        <v>2093</v>
      </c>
      <c r="C385" s="28" t="s">
        <v>2236</v>
      </c>
      <c r="D385" s="1" t="s">
        <v>1696</v>
      </c>
      <c r="E385" s="1" t="s">
        <v>2615</v>
      </c>
      <c r="F385" s="168">
        <v>9</v>
      </c>
      <c r="G385" s="168">
        <v>9</v>
      </c>
      <c r="H385" s="168">
        <v>4.5</v>
      </c>
      <c r="I385" s="168">
        <v>1000</v>
      </c>
      <c r="J385" s="168"/>
      <c r="K385" s="168">
        <v>2.7</v>
      </c>
      <c r="L385" s="168"/>
      <c r="M385" s="1"/>
    </row>
    <row r="386" spans="1:13">
      <c r="A386" s="30">
        <v>384</v>
      </c>
      <c r="B386" s="1" t="s">
        <v>2094</v>
      </c>
      <c r="C386" s="28" t="s">
        <v>2236</v>
      </c>
      <c r="D386" s="1" t="s">
        <v>1696</v>
      </c>
      <c r="E386" s="1" t="s">
        <v>2616</v>
      </c>
      <c r="F386" s="168">
        <v>9</v>
      </c>
      <c r="G386" s="168">
        <v>9</v>
      </c>
      <c r="H386" s="168">
        <v>9</v>
      </c>
      <c r="I386" s="168">
        <v>500</v>
      </c>
      <c r="J386" s="168"/>
      <c r="K386" s="168">
        <v>2.7</v>
      </c>
      <c r="L386" s="168"/>
      <c r="M386" s="1"/>
    </row>
    <row r="387" spans="1:13">
      <c r="A387" s="30">
        <v>385</v>
      </c>
      <c r="B387" s="1" t="s">
        <v>2095</v>
      </c>
      <c r="C387" s="28" t="s">
        <v>2236</v>
      </c>
      <c r="D387" s="1" t="s">
        <v>1696</v>
      </c>
      <c r="E387" s="1" t="s">
        <v>2617</v>
      </c>
      <c r="F387" s="168">
        <v>14</v>
      </c>
      <c r="G387" s="168">
        <v>14</v>
      </c>
      <c r="H387" s="168">
        <v>6</v>
      </c>
      <c r="I387" s="168">
        <v>441</v>
      </c>
      <c r="J387" s="168"/>
      <c r="K387" s="168">
        <v>2.7</v>
      </c>
      <c r="L387" s="168"/>
      <c r="M387" s="1"/>
    </row>
    <row r="388" spans="1:13">
      <c r="A388" s="30">
        <v>386</v>
      </c>
      <c r="B388" s="1" t="s">
        <v>2096</v>
      </c>
      <c r="C388" s="28" t="s">
        <v>2236</v>
      </c>
      <c r="D388" s="1" t="s">
        <v>29</v>
      </c>
      <c r="E388" s="1" t="s">
        <v>2618</v>
      </c>
      <c r="F388" s="168">
        <v>90</v>
      </c>
      <c r="G388" s="168">
        <v>12</v>
      </c>
      <c r="H388" s="168">
        <v>12</v>
      </c>
      <c r="I388" s="168">
        <v>30</v>
      </c>
      <c r="J388" s="168"/>
      <c r="K388" s="168">
        <v>2.7</v>
      </c>
      <c r="L388" s="168"/>
      <c r="M388" s="1"/>
    </row>
    <row r="389" spans="1:13">
      <c r="A389" s="30">
        <v>387</v>
      </c>
      <c r="B389" s="1" t="s">
        <v>2097</v>
      </c>
      <c r="C389" s="28" t="s">
        <v>2236</v>
      </c>
      <c r="D389" s="1" t="s">
        <v>10</v>
      </c>
      <c r="E389" s="1" t="s">
        <v>2619</v>
      </c>
      <c r="F389" s="168">
        <v>30</v>
      </c>
      <c r="G389" s="168">
        <v>30</v>
      </c>
      <c r="H389" s="168">
        <v>3</v>
      </c>
      <c r="I389" s="168">
        <v>120</v>
      </c>
      <c r="J389" s="168"/>
      <c r="K389" s="168">
        <v>2.7</v>
      </c>
      <c r="L389" s="168"/>
      <c r="M389" s="1"/>
    </row>
    <row r="390" spans="1:13">
      <c r="A390" s="30">
        <v>388</v>
      </c>
      <c r="B390" s="1" t="s">
        <v>2098</v>
      </c>
      <c r="C390" s="28" t="s">
        <v>2236</v>
      </c>
      <c r="D390" s="1" t="s">
        <v>10</v>
      </c>
      <c r="E390" s="1" t="s">
        <v>2620</v>
      </c>
      <c r="F390" s="168">
        <v>60</v>
      </c>
      <c r="G390" s="168">
        <v>30</v>
      </c>
      <c r="H390" s="168">
        <v>3</v>
      </c>
      <c r="I390" s="168">
        <v>60</v>
      </c>
      <c r="J390" s="168"/>
      <c r="K390" s="168">
        <v>2.7</v>
      </c>
      <c r="L390" s="168"/>
      <c r="M390" s="1"/>
    </row>
    <row r="391" spans="1:13">
      <c r="A391" s="30">
        <v>389</v>
      </c>
      <c r="B391" s="1" t="s">
        <v>2099</v>
      </c>
      <c r="C391" s="28" t="s">
        <v>2236</v>
      </c>
      <c r="D391" s="1" t="s">
        <v>10</v>
      </c>
      <c r="E391" s="1" t="s">
        <v>2621</v>
      </c>
      <c r="F391" s="168">
        <v>60</v>
      </c>
      <c r="G391" s="168">
        <v>40</v>
      </c>
      <c r="H391" s="168">
        <v>3</v>
      </c>
      <c r="I391" s="168">
        <v>50</v>
      </c>
      <c r="J391" s="168"/>
      <c r="K391" s="168">
        <v>2.7</v>
      </c>
      <c r="L391" s="168"/>
      <c r="M391" s="1"/>
    </row>
    <row r="392" spans="1:13">
      <c r="A392" s="30">
        <v>390</v>
      </c>
      <c r="B392" s="1" t="s">
        <v>2100</v>
      </c>
      <c r="C392" s="28" t="s">
        <v>2236</v>
      </c>
      <c r="D392" s="1" t="s">
        <v>10</v>
      </c>
      <c r="E392" s="1" t="s">
        <v>2622</v>
      </c>
      <c r="F392" s="168">
        <v>90</v>
      </c>
      <c r="G392" s="168">
        <v>45</v>
      </c>
      <c r="H392" s="168">
        <v>3</v>
      </c>
      <c r="I392" s="168">
        <v>30</v>
      </c>
      <c r="J392" s="168"/>
      <c r="K392" s="168">
        <v>2.7</v>
      </c>
      <c r="L392" s="168"/>
      <c r="M392" s="1"/>
    </row>
    <row r="393" spans="1:13">
      <c r="A393" s="30">
        <v>391</v>
      </c>
      <c r="B393" s="1" t="s">
        <v>2101</v>
      </c>
      <c r="C393" s="28" t="s">
        <v>2237</v>
      </c>
      <c r="D393" s="1" t="s">
        <v>1696</v>
      </c>
      <c r="E393" s="1" t="s">
        <v>2623</v>
      </c>
      <c r="F393" s="168">
        <v>19</v>
      </c>
      <c r="G393" s="168">
        <v>9</v>
      </c>
      <c r="H393" s="168">
        <v>9</v>
      </c>
      <c r="I393" s="168">
        <v>250</v>
      </c>
      <c r="J393" s="168"/>
      <c r="K393" s="168">
        <v>2.7</v>
      </c>
      <c r="L393" s="168"/>
      <c r="M393" s="1"/>
    </row>
    <row r="394" spans="1:13">
      <c r="A394" s="30">
        <v>392</v>
      </c>
      <c r="B394" s="1" t="s">
        <v>2102</v>
      </c>
      <c r="C394" s="28" t="s">
        <v>2237</v>
      </c>
      <c r="D394" s="1" t="s">
        <v>1696</v>
      </c>
      <c r="E394" s="1" t="s">
        <v>2624</v>
      </c>
      <c r="F394" s="168">
        <v>9</v>
      </c>
      <c r="G394" s="168">
        <v>9</v>
      </c>
      <c r="H394" s="168">
        <v>9</v>
      </c>
      <c r="I394" s="168">
        <v>500</v>
      </c>
      <c r="J394" s="168"/>
      <c r="K394" s="168">
        <v>2.7</v>
      </c>
      <c r="L394" s="168"/>
      <c r="M394" s="1"/>
    </row>
    <row r="395" spans="1:13">
      <c r="A395" s="30">
        <v>393</v>
      </c>
      <c r="B395" s="1" t="s">
        <v>2103</v>
      </c>
      <c r="C395" s="28" t="s">
        <v>2237</v>
      </c>
      <c r="D395" s="1" t="s">
        <v>29</v>
      </c>
      <c r="E395" s="1" t="s">
        <v>2625</v>
      </c>
      <c r="F395" s="168">
        <v>90</v>
      </c>
      <c r="G395" s="168">
        <v>10</v>
      </c>
      <c r="H395" s="168">
        <v>10</v>
      </c>
      <c r="I395" s="168">
        <v>40</v>
      </c>
      <c r="J395" s="168"/>
      <c r="K395" s="168">
        <v>2.7</v>
      </c>
      <c r="L395" s="168"/>
      <c r="M395" s="1"/>
    </row>
    <row r="396" spans="1:13">
      <c r="A396" s="30">
        <v>394</v>
      </c>
      <c r="B396" s="1" t="s">
        <v>2104</v>
      </c>
      <c r="C396" s="28" t="s">
        <v>2238</v>
      </c>
      <c r="D396" s="1" t="s">
        <v>1696</v>
      </c>
      <c r="E396" s="1" t="s">
        <v>2626</v>
      </c>
      <c r="F396" s="168">
        <v>10</v>
      </c>
      <c r="G396" s="168">
        <v>10</v>
      </c>
      <c r="H396" s="168">
        <v>5</v>
      </c>
      <c r="I396" s="168">
        <v>1000</v>
      </c>
      <c r="J396" s="168"/>
      <c r="K396" s="168">
        <v>2.7</v>
      </c>
      <c r="L396" s="168"/>
      <c r="M396" s="1"/>
    </row>
    <row r="397" spans="1:13">
      <c r="A397" s="30">
        <v>395</v>
      </c>
      <c r="B397" s="1" t="s">
        <v>2105</v>
      </c>
      <c r="C397" s="28" t="s">
        <v>2238</v>
      </c>
      <c r="D397" s="1" t="s">
        <v>1696</v>
      </c>
      <c r="E397" s="1" t="s">
        <v>2627</v>
      </c>
      <c r="F397" s="168">
        <v>20</v>
      </c>
      <c r="G397" s="168">
        <v>10</v>
      </c>
      <c r="H397" s="168">
        <v>7</v>
      </c>
      <c r="I397" s="168">
        <v>400</v>
      </c>
      <c r="J397" s="168"/>
      <c r="K397" s="168">
        <v>2.7</v>
      </c>
      <c r="L397" s="168"/>
      <c r="M397" s="1"/>
    </row>
    <row r="398" spans="1:13">
      <c r="A398" s="30">
        <v>396</v>
      </c>
      <c r="B398" s="1" t="s">
        <v>2106</v>
      </c>
      <c r="C398" s="28" t="s">
        <v>2238</v>
      </c>
      <c r="D398" s="1" t="s">
        <v>1696</v>
      </c>
      <c r="E398" s="1" t="s">
        <v>2628</v>
      </c>
      <c r="F398" s="168">
        <v>19</v>
      </c>
      <c r="G398" s="168">
        <v>9</v>
      </c>
      <c r="H398" s="168">
        <v>9</v>
      </c>
      <c r="I398" s="168">
        <v>250</v>
      </c>
      <c r="J398" s="168"/>
      <c r="K398" s="168">
        <v>2.7</v>
      </c>
      <c r="L398" s="168"/>
      <c r="M398" s="1"/>
    </row>
    <row r="399" spans="1:13">
      <c r="A399" s="30">
        <v>397</v>
      </c>
      <c r="B399" s="1" t="s">
        <v>2107</v>
      </c>
      <c r="C399" s="28" t="s">
        <v>2238</v>
      </c>
      <c r="D399" s="1" t="s">
        <v>1696</v>
      </c>
      <c r="E399" s="1" t="s">
        <v>2629</v>
      </c>
      <c r="F399" s="168">
        <v>9</v>
      </c>
      <c r="G399" s="168">
        <v>9</v>
      </c>
      <c r="H399" s="168">
        <v>9</v>
      </c>
      <c r="I399" s="168">
        <v>500</v>
      </c>
      <c r="J399" s="168"/>
      <c r="K399" s="168">
        <v>2.7</v>
      </c>
      <c r="L399" s="168"/>
      <c r="M399" s="1"/>
    </row>
    <row r="400" spans="1:13">
      <c r="A400" s="30">
        <v>398</v>
      </c>
      <c r="B400" s="1" t="s">
        <v>2108</v>
      </c>
      <c r="C400" s="28" t="s">
        <v>2238</v>
      </c>
      <c r="D400" s="1" t="s">
        <v>1696</v>
      </c>
      <c r="E400" s="1" t="s">
        <v>2630</v>
      </c>
      <c r="F400" s="168">
        <v>19</v>
      </c>
      <c r="G400" s="168">
        <v>9</v>
      </c>
      <c r="H400" s="168">
        <v>9</v>
      </c>
      <c r="I400" s="168">
        <v>250</v>
      </c>
      <c r="J400" s="168"/>
      <c r="K400" s="168">
        <v>2.7</v>
      </c>
      <c r="L400" s="168"/>
      <c r="M400" s="1"/>
    </row>
    <row r="401" spans="1:13">
      <c r="A401" s="30">
        <v>399</v>
      </c>
      <c r="B401" s="1" t="s">
        <v>2109</v>
      </c>
      <c r="C401" s="28" t="s">
        <v>2238</v>
      </c>
      <c r="D401" s="1" t="s">
        <v>1696</v>
      </c>
      <c r="E401" s="1" t="s">
        <v>2631</v>
      </c>
      <c r="F401" s="168">
        <v>29</v>
      </c>
      <c r="G401" s="168">
        <v>9</v>
      </c>
      <c r="H401" s="168">
        <v>9</v>
      </c>
      <c r="I401" s="168">
        <v>180</v>
      </c>
      <c r="J401" s="168"/>
      <c r="K401" s="168">
        <v>2.7</v>
      </c>
      <c r="L401" s="168"/>
      <c r="M401" s="1"/>
    </row>
    <row r="402" spans="1:13">
      <c r="A402" s="30">
        <v>400</v>
      </c>
      <c r="B402" s="1" t="s">
        <v>2110</v>
      </c>
      <c r="C402" s="28" t="s">
        <v>2238</v>
      </c>
      <c r="D402" s="1" t="s">
        <v>1696</v>
      </c>
      <c r="E402" s="1" t="s">
        <v>2632</v>
      </c>
      <c r="F402" s="168">
        <v>9</v>
      </c>
      <c r="G402" s="168">
        <v>9</v>
      </c>
      <c r="H402" s="168">
        <v>5</v>
      </c>
      <c r="I402" s="168">
        <v>1000</v>
      </c>
      <c r="J402" s="168"/>
      <c r="K402" s="168">
        <v>2.7</v>
      </c>
      <c r="L402" s="168"/>
      <c r="M402" s="1"/>
    </row>
    <row r="403" spans="1:13">
      <c r="A403" s="30">
        <v>401</v>
      </c>
      <c r="B403" s="1" t="s">
        <v>2111</v>
      </c>
      <c r="C403" s="28" t="s">
        <v>2238</v>
      </c>
      <c r="D403" s="1" t="s">
        <v>1696</v>
      </c>
      <c r="E403" s="1" t="s">
        <v>2633</v>
      </c>
      <c r="F403" s="168">
        <v>9</v>
      </c>
      <c r="G403" s="168">
        <v>9</v>
      </c>
      <c r="H403" s="168">
        <v>9</v>
      </c>
      <c r="I403" s="168">
        <v>500</v>
      </c>
      <c r="J403" s="168"/>
      <c r="K403" s="168">
        <v>2.7</v>
      </c>
      <c r="L403" s="168"/>
      <c r="M403" s="1"/>
    </row>
    <row r="404" spans="1:13">
      <c r="A404" s="30">
        <v>402</v>
      </c>
      <c r="B404" s="1" t="s">
        <v>2112</v>
      </c>
      <c r="C404" s="28" t="s">
        <v>2238</v>
      </c>
      <c r="D404" s="1" t="s">
        <v>1696</v>
      </c>
      <c r="E404" s="1" t="s">
        <v>2634</v>
      </c>
      <c r="F404" s="168">
        <v>9</v>
      </c>
      <c r="G404" s="168">
        <v>9</v>
      </c>
      <c r="H404" s="168">
        <v>3</v>
      </c>
      <c r="I404" s="168">
        <v>1500</v>
      </c>
      <c r="J404" s="168"/>
      <c r="K404" s="168">
        <v>2.7</v>
      </c>
      <c r="L404" s="168"/>
      <c r="M404" s="1"/>
    </row>
    <row r="405" spans="1:13">
      <c r="A405" s="30">
        <v>403</v>
      </c>
      <c r="B405" s="1" t="s">
        <v>2113</v>
      </c>
      <c r="C405" s="28" t="s">
        <v>2238</v>
      </c>
      <c r="D405" s="1" t="s">
        <v>29</v>
      </c>
      <c r="E405" s="1" t="s">
        <v>2635</v>
      </c>
      <c r="F405" s="168">
        <v>180</v>
      </c>
      <c r="G405" s="168">
        <v>15</v>
      </c>
      <c r="H405" s="168">
        <v>12</v>
      </c>
      <c r="I405" s="168">
        <v>15</v>
      </c>
      <c r="J405" s="168"/>
      <c r="K405" s="168">
        <v>2.7</v>
      </c>
      <c r="L405" s="168"/>
      <c r="M405" s="1"/>
    </row>
    <row r="406" spans="1:13">
      <c r="A406" s="30">
        <v>404</v>
      </c>
      <c r="B406" s="1" t="s">
        <v>2114</v>
      </c>
      <c r="C406" s="28" t="s">
        <v>2238</v>
      </c>
      <c r="D406" s="1" t="s">
        <v>29</v>
      </c>
      <c r="E406" s="1" t="s">
        <v>2636</v>
      </c>
      <c r="F406" s="168">
        <v>60</v>
      </c>
      <c r="G406" s="168">
        <v>10</v>
      </c>
      <c r="H406" s="168">
        <v>10</v>
      </c>
      <c r="I406" s="168">
        <v>60</v>
      </c>
      <c r="J406" s="168"/>
      <c r="K406" s="168">
        <v>2.7</v>
      </c>
      <c r="L406" s="168"/>
      <c r="M406" s="1"/>
    </row>
    <row r="407" spans="1:13">
      <c r="A407" s="30">
        <v>405</v>
      </c>
      <c r="B407" s="1" t="s">
        <v>2115</v>
      </c>
      <c r="C407" s="28" t="s">
        <v>2238</v>
      </c>
      <c r="D407" s="1" t="s">
        <v>29</v>
      </c>
      <c r="E407" s="1" t="s">
        <v>2637</v>
      </c>
      <c r="F407" s="168">
        <v>60</v>
      </c>
      <c r="G407" s="168">
        <v>15</v>
      </c>
      <c r="H407" s="168">
        <v>12</v>
      </c>
      <c r="I407" s="168">
        <v>40</v>
      </c>
      <c r="J407" s="168"/>
      <c r="K407" s="168">
        <v>2.7</v>
      </c>
      <c r="L407" s="168"/>
      <c r="M407" s="1"/>
    </row>
    <row r="408" spans="1:13">
      <c r="A408" s="30">
        <v>406</v>
      </c>
      <c r="B408" s="1" t="s">
        <v>2116</v>
      </c>
      <c r="C408" s="28" t="s">
        <v>2238</v>
      </c>
      <c r="D408" s="1" t="s">
        <v>29</v>
      </c>
      <c r="E408" s="1" t="s">
        <v>2638</v>
      </c>
      <c r="F408" s="168">
        <v>60</v>
      </c>
      <c r="G408" s="168">
        <v>9</v>
      </c>
      <c r="H408" s="168">
        <v>9</v>
      </c>
      <c r="I408" s="168">
        <v>80</v>
      </c>
      <c r="J408" s="168"/>
      <c r="K408" s="168">
        <v>2.7</v>
      </c>
      <c r="L408" s="168"/>
      <c r="M408" s="1"/>
    </row>
    <row r="409" spans="1:13">
      <c r="A409" s="30">
        <v>407</v>
      </c>
      <c r="B409" s="1" t="s">
        <v>2117</v>
      </c>
      <c r="C409" s="28" t="s">
        <v>2238</v>
      </c>
      <c r="D409" s="1" t="s">
        <v>29</v>
      </c>
      <c r="E409" s="1" t="s">
        <v>2639</v>
      </c>
      <c r="F409" s="168">
        <v>90</v>
      </c>
      <c r="G409" s="168">
        <v>10</v>
      </c>
      <c r="H409" s="168">
        <v>10</v>
      </c>
      <c r="I409" s="168">
        <v>40</v>
      </c>
      <c r="J409" s="168"/>
      <c r="K409" s="168">
        <v>2.7</v>
      </c>
      <c r="L409" s="168"/>
      <c r="M409" s="1"/>
    </row>
    <row r="410" spans="1:13">
      <c r="A410" s="30">
        <v>408</v>
      </c>
      <c r="B410" s="1" t="s">
        <v>2118</v>
      </c>
      <c r="C410" s="28" t="s">
        <v>2238</v>
      </c>
      <c r="D410" s="1" t="s">
        <v>29</v>
      </c>
      <c r="E410" s="1" t="s">
        <v>2640</v>
      </c>
      <c r="F410" s="168">
        <v>90</v>
      </c>
      <c r="G410" s="168">
        <v>15</v>
      </c>
      <c r="H410" s="168">
        <v>10</v>
      </c>
      <c r="I410" s="168">
        <v>30</v>
      </c>
      <c r="J410" s="168"/>
      <c r="K410" s="168">
        <v>2.7</v>
      </c>
      <c r="L410" s="168"/>
      <c r="M410" s="1"/>
    </row>
    <row r="411" spans="1:13">
      <c r="A411" s="30">
        <v>409</v>
      </c>
      <c r="B411" s="1" t="s">
        <v>2119</v>
      </c>
      <c r="C411" s="28" t="s">
        <v>2238</v>
      </c>
      <c r="D411" s="1" t="s">
        <v>29</v>
      </c>
      <c r="E411" s="1" t="s">
        <v>2641</v>
      </c>
      <c r="F411" s="168">
        <v>90</v>
      </c>
      <c r="G411" s="168">
        <v>15</v>
      </c>
      <c r="H411" s="168">
        <v>12</v>
      </c>
      <c r="I411" s="168">
        <v>30</v>
      </c>
      <c r="J411" s="168"/>
      <c r="K411" s="168">
        <v>2.7</v>
      </c>
      <c r="L411" s="168"/>
      <c r="M411" s="1"/>
    </row>
    <row r="412" spans="1:13">
      <c r="A412" s="30">
        <v>410</v>
      </c>
      <c r="B412" s="1" t="s">
        <v>2120</v>
      </c>
      <c r="C412" s="28" t="s">
        <v>2238</v>
      </c>
      <c r="D412" s="1" t="s">
        <v>29</v>
      </c>
      <c r="E412" s="1" t="s">
        <v>2642</v>
      </c>
      <c r="F412" s="168">
        <v>180</v>
      </c>
      <c r="G412" s="168">
        <v>20</v>
      </c>
      <c r="H412" s="168">
        <v>10</v>
      </c>
      <c r="I412" s="168">
        <v>10</v>
      </c>
      <c r="J412" s="168"/>
      <c r="K412" s="168">
        <v>2.7</v>
      </c>
      <c r="L412" s="168"/>
      <c r="M412" s="1"/>
    </row>
    <row r="413" spans="1:13">
      <c r="A413" s="30">
        <v>411</v>
      </c>
      <c r="B413" s="1" t="s">
        <v>2121</v>
      </c>
      <c r="C413" s="28" t="s">
        <v>2238</v>
      </c>
      <c r="D413" s="1" t="s">
        <v>29</v>
      </c>
      <c r="E413" s="1" t="s">
        <v>2643</v>
      </c>
      <c r="F413" s="168">
        <v>180</v>
      </c>
      <c r="G413" s="168">
        <v>24</v>
      </c>
      <c r="H413" s="168">
        <v>12</v>
      </c>
      <c r="I413" s="168">
        <v>8</v>
      </c>
      <c r="J413" s="168"/>
      <c r="K413" s="168">
        <v>2.7</v>
      </c>
      <c r="L413" s="168"/>
      <c r="M413" s="1"/>
    </row>
    <row r="414" spans="1:13">
      <c r="A414" s="30">
        <v>412</v>
      </c>
      <c r="B414" s="1" t="s">
        <v>2122</v>
      </c>
      <c r="C414" s="28" t="s">
        <v>2238</v>
      </c>
      <c r="D414" s="1" t="s">
        <v>29</v>
      </c>
      <c r="E414" s="1" t="s">
        <v>2644</v>
      </c>
      <c r="F414" s="168">
        <v>90</v>
      </c>
      <c r="G414" s="168">
        <v>15</v>
      </c>
      <c r="H414" s="168">
        <v>10</v>
      </c>
      <c r="I414" s="168">
        <v>30</v>
      </c>
      <c r="J414" s="168"/>
      <c r="K414" s="168">
        <v>2.7</v>
      </c>
      <c r="L414" s="168"/>
      <c r="M414" s="1"/>
    </row>
    <row r="415" spans="1:13">
      <c r="A415" s="30">
        <v>413</v>
      </c>
      <c r="B415" s="1" t="s">
        <v>2123</v>
      </c>
      <c r="C415" s="28" t="s">
        <v>2238</v>
      </c>
      <c r="D415" s="1" t="s">
        <v>29</v>
      </c>
      <c r="E415" s="1" t="s">
        <v>2645</v>
      </c>
      <c r="F415" s="168">
        <v>60</v>
      </c>
      <c r="G415" s="168">
        <v>12</v>
      </c>
      <c r="H415" s="168">
        <v>10</v>
      </c>
      <c r="I415" s="168">
        <v>60</v>
      </c>
      <c r="J415" s="168"/>
      <c r="K415" s="168">
        <v>2.7</v>
      </c>
      <c r="L415" s="168"/>
      <c r="M415" s="1"/>
    </row>
    <row r="416" spans="1:13">
      <c r="A416" s="30">
        <v>414</v>
      </c>
      <c r="B416" s="1" t="s">
        <v>2124</v>
      </c>
      <c r="C416" s="28" t="s">
        <v>2238</v>
      </c>
      <c r="D416" s="1" t="s">
        <v>10</v>
      </c>
      <c r="E416" s="1" t="s">
        <v>2646</v>
      </c>
      <c r="F416" s="168">
        <v>30</v>
      </c>
      <c r="G416" s="168">
        <v>30</v>
      </c>
      <c r="H416" s="168">
        <v>6</v>
      </c>
      <c r="I416" s="168">
        <v>72</v>
      </c>
      <c r="J416" s="168"/>
      <c r="K416" s="168">
        <v>2.7</v>
      </c>
      <c r="L416" s="168"/>
      <c r="M416" s="1"/>
    </row>
    <row r="417" spans="1:13">
      <c r="A417" s="30">
        <v>415</v>
      </c>
      <c r="B417" s="1" t="s">
        <v>2125</v>
      </c>
      <c r="C417" s="28" t="s">
        <v>2238</v>
      </c>
      <c r="D417" s="1" t="s">
        <v>10</v>
      </c>
      <c r="E417" s="1" t="s">
        <v>2647</v>
      </c>
      <c r="F417" s="168">
        <v>60</v>
      </c>
      <c r="G417" s="168">
        <v>30</v>
      </c>
      <c r="H417" s="168">
        <v>5</v>
      </c>
      <c r="I417" s="168">
        <v>48</v>
      </c>
      <c r="J417" s="168"/>
      <c r="K417" s="168">
        <v>2.7</v>
      </c>
      <c r="L417" s="168"/>
      <c r="M417" s="1"/>
    </row>
    <row r="418" spans="1:13">
      <c r="A418" s="30">
        <v>416</v>
      </c>
      <c r="B418" s="1" t="s">
        <v>2126</v>
      </c>
      <c r="C418" s="28" t="s">
        <v>2238</v>
      </c>
      <c r="D418" s="1" t="s">
        <v>10</v>
      </c>
      <c r="E418" s="1" t="s">
        <v>2648</v>
      </c>
      <c r="F418" s="168">
        <v>60</v>
      </c>
      <c r="G418" s="168">
        <v>30</v>
      </c>
      <c r="H418" s="168">
        <v>6</v>
      </c>
      <c r="I418" s="168">
        <v>36</v>
      </c>
      <c r="J418" s="168"/>
      <c r="K418" s="168">
        <v>2.7</v>
      </c>
      <c r="L418" s="168"/>
      <c r="M418" s="1"/>
    </row>
    <row r="419" spans="1:13">
      <c r="A419" s="30">
        <v>417</v>
      </c>
      <c r="B419" s="1" t="s">
        <v>2127</v>
      </c>
      <c r="C419" s="28" t="s">
        <v>2238</v>
      </c>
      <c r="D419" s="1" t="s">
        <v>10</v>
      </c>
      <c r="E419" s="1" t="s">
        <v>2649</v>
      </c>
      <c r="F419" s="168">
        <v>60</v>
      </c>
      <c r="G419" s="168">
        <v>40</v>
      </c>
      <c r="H419" s="168">
        <v>6</v>
      </c>
      <c r="I419" s="168">
        <v>28</v>
      </c>
      <c r="J419" s="168"/>
      <c r="K419" s="168">
        <v>2.7</v>
      </c>
      <c r="L419" s="168"/>
      <c r="M419" s="1"/>
    </row>
    <row r="420" spans="1:13">
      <c r="A420" s="30">
        <v>418</v>
      </c>
      <c r="B420" s="1" t="s">
        <v>2128</v>
      </c>
      <c r="C420" s="28" t="s">
        <v>2238</v>
      </c>
      <c r="D420" s="1" t="s">
        <v>10</v>
      </c>
      <c r="E420" s="1" t="s">
        <v>2650</v>
      </c>
      <c r="F420" s="168">
        <v>80</v>
      </c>
      <c r="G420" s="168">
        <v>40</v>
      </c>
      <c r="H420" s="168">
        <v>6</v>
      </c>
      <c r="I420" s="168">
        <v>21</v>
      </c>
      <c r="J420" s="168"/>
      <c r="K420" s="168">
        <v>2.7</v>
      </c>
      <c r="L420" s="168"/>
      <c r="M420" s="1"/>
    </row>
    <row r="421" spans="1:13">
      <c r="A421" s="30">
        <v>419</v>
      </c>
      <c r="B421" s="1" t="s">
        <v>2129</v>
      </c>
      <c r="C421" s="28" t="s">
        <v>2238</v>
      </c>
      <c r="D421" s="1" t="s">
        <v>10</v>
      </c>
      <c r="E421" s="1" t="s">
        <v>2651</v>
      </c>
      <c r="F421" s="168">
        <v>90</v>
      </c>
      <c r="G421" s="168">
        <v>45</v>
      </c>
      <c r="H421" s="168">
        <v>7</v>
      </c>
      <c r="I421" s="168">
        <v>14</v>
      </c>
      <c r="J421" s="168"/>
      <c r="K421" s="168">
        <v>2.7</v>
      </c>
      <c r="L421" s="168"/>
      <c r="M421" s="1"/>
    </row>
    <row r="422" spans="1:13">
      <c r="A422" s="30">
        <v>420</v>
      </c>
      <c r="B422" s="1" t="s">
        <v>2130</v>
      </c>
      <c r="C422" s="28" t="s">
        <v>2238</v>
      </c>
      <c r="D422" s="1" t="s">
        <v>10</v>
      </c>
      <c r="E422" s="1" t="s">
        <v>2652</v>
      </c>
      <c r="F422" s="168">
        <v>90</v>
      </c>
      <c r="G422" s="168">
        <v>45</v>
      </c>
      <c r="H422" s="168">
        <v>6</v>
      </c>
      <c r="I422" s="168">
        <v>14</v>
      </c>
      <c r="J422" s="168"/>
      <c r="K422" s="168">
        <v>2.7</v>
      </c>
      <c r="L422" s="168"/>
      <c r="M422" s="1"/>
    </row>
    <row r="423" spans="1:13">
      <c r="A423" s="30">
        <v>421</v>
      </c>
      <c r="B423" s="1" t="s">
        <v>2131</v>
      </c>
      <c r="C423" s="28" t="s">
        <v>2238</v>
      </c>
      <c r="D423" s="1" t="s">
        <v>39</v>
      </c>
      <c r="E423" s="1" t="s">
        <v>2653</v>
      </c>
      <c r="F423" s="168">
        <v>40</v>
      </c>
      <c r="G423" s="168">
        <v>40</v>
      </c>
      <c r="H423" s="168">
        <v>7</v>
      </c>
      <c r="I423" s="168">
        <v>40</v>
      </c>
      <c r="J423" s="168"/>
      <c r="K423" s="168">
        <v>2.7</v>
      </c>
      <c r="L423" s="168"/>
      <c r="M423" s="1"/>
    </row>
    <row r="424" spans="1:13">
      <c r="A424" s="30">
        <v>422</v>
      </c>
      <c r="B424" s="1" t="s">
        <v>2132</v>
      </c>
      <c r="C424" s="28" t="s">
        <v>2239</v>
      </c>
      <c r="D424" s="1" t="s">
        <v>1694</v>
      </c>
      <c r="E424" s="1" t="s">
        <v>2654</v>
      </c>
      <c r="F424" s="168">
        <v>45</v>
      </c>
      <c r="G424" s="168">
        <v>35</v>
      </c>
      <c r="H424" s="168">
        <v>30</v>
      </c>
      <c r="I424" s="168">
        <v>8</v>
      </c>
      <c r="J424" s="168"/>
      <c r="K424" s="168">
        <v>2.7</v>
      </c>
      <c r="L424" s="168"/>
      <c r="M424" s="1"/>
    </row>
    <row r="425" spans="1:13">
      <c r="A425" s="30">
        <v>423</v>
      </c>
      <c r="B425" s="1" t="s">
        <v>2133</v>
      </c>
      <c r="C425" s="28" t="s">
        <v>2239</v>
      </c>
      <c r="D425" s="1" t="s">
        <v>1695</v>
      </c>
      <c r="E425" s="1" t="s">
        <v>2655</v>
      </c>
      <c r="F425" s="168">
        <v>30</v>
      </c>
      <c r="G425" s="168">
        <v>15</v>
      </c>
      <c r="H425" s="168">
        <v>10</v>
      </c>
      <c r="I425" s="168">
        <v>126</v>
      </c>
      <c r="J425" s="168"/>
      <c r="K425" s="168">
        <v>2.7</v>
      </c>
      <c r="L425" s="168"/>
      <c r="M425" s="1"/>
    </row>
    <row r="426" spans="1:13">
      <c r="A426" s="30">
        <v>424</v>
      </c>
      <c r="B426" s="1" t="s">
        <v>2134</v>
      </c>
      <c r="C426" s="28" t="s">
        <v>2239</v>
      </c>
      <c r="D426" s="1" t="s">
        <v>1696</v>
      </c>
      <c r="E426" s="1" t="s">
        <v>2656</v>
      </c>
      <c r="F426" s="168">
        <v>20</v>
      </c>
      <c r="G426" s="168">
        <v>10</v>
      </c>
      <c r="H426" s="168">
        <v>7</v>
      </c>
      <c r="I426" s="168">
        <v>400</v>
      </c>
      <c r="J426" s="168"/>
      <c r="K426" s="168">
        <v>2.7</v>
      </c>
      <c r="L426" s="168"/>
      <c r="M426" s="1"/>
    </row>
    <row r="427" spans="1:13">
      <c r="A427" s="30">
        <v>425</v>
      </c>
      <c r="B427" s="1" t="s">
        <v>2135</v>
      </c>
      <c r="C427" s="28" t="s">
        <v>2239</v>
      </c>
      <c r="D427" s="1" t="s">
        <v>1696</v>
      </c>
      <c r="E427" s="1" t="s">
        <v>2657</v>
      </c>
      <c r="F427" s="168">
        <v>19</v>
      </c>
      <c r="G427" s="168">
        <v>9</v>
      </c>
      <c r="H427" s="168">
        <v>9</v>
      </c>
      <c r="I427" s="168">
        <v>250</v>
      </c>
      <c r="J427" s="168"/>
      <c r="K427" s="168">
        <v>2.7</v>
      </c>
      <c r="L427" s="168"/>
      <c r="M427" s="1"/>
    </row>
    <row r="428" spans="1:13">
      <c r="A428" s="30">
        <v>426</v>
      </c>
      <c r="B428" s="1" t="s">
        <v>2136</v>
      </c>
      <c r="C428" s="28" t="s">
        <v>2239</v>
      </c>
      <c r="D428" s="1" t="s">
        <v>1696</v>
      </c>
      <c r="E428" s="1" t="s">
        <v>2658</v>
      </c>
      <c r="F428" s="168">
        <v>29</v>
      </c>
      <c r="G428" s="168">
        <v>9</v>
      </c>
      <c r="H428" s="168">
        <v>9</v>
      </c>
      <c r="I428" s="168">
        <v>180</v>
      </c>
      <c r="J428" s="168"/>
      <c r="K428" s="168">
        <v>2.7</v>
      </c>
      <c r="L428" s="168"/>
      <c r="M428" s="1"/>
    </row>
    <row r="429" spans="1:13">
      <c r="A429" s="30">
        <v>427</v>
      </c>
      <c r="B429" s="1" t="s">
        <v>2137</v>
      </c>
      <c r="C429" s="28" t="s">
        <v>2239</v>
      </c>
      <c r="D429" s="1" t="s">
        <v>1696</v>
      </c>
      <c r="E429" s="1" t="s">
        <v>2659</v>
      </c>
      <c r="F429" s="168">
        <v>9</v>
      </c>
      <c r="G429" s="168">
        <v>9</v>
      </c>
      <c r="H429" s="168">
        <v>4.5</v>
      </c>
      <c r="I429" s="168">
        <v>1000</v>
      </c>
      <c r="J429" s="168"/>
      <c r="K429" s="168">
        <v>2.7</v>
      </c>
      <c r="L429" s="168"/>
      <c r="M429" s="1"/>
    </row>
    <row r="430" spans="1:13">
      <c r="A430" s="30">
        <v>428</v>
      </c>
      <c r="B430" s="1" t="s">
        <v>2138</v>
      </c>
      <c r="C430" s="28" t="s">
        <v>2239</v>
      </c>
      <c r="D430" s="1" t="s">
        <v>1696</v>
      </c>
      <c r="E430" s="1" t="s">
        <v>2660</v>
      </c>
      <c r="F430" s="168">
        <v>9</v>
      </c>
      <c r="G430" s="168">
        <v>9</v>
      </c>
      <c r="H430" s="168">
        <v>9</v>
      </c>
      <c r="I430" s="168">
        <v>500</v>
      </c>
      <c r="J430" s="168"/>
      <c r="K430" s="168">
        <v>2.7</v>
      </c>
      <c r="L430" s="168"/>
      <c r="M430" s="1"/>
    </row>
    <row r="431" spans="1:13">
      <c r="A431" s="30">
        <v>429</v>
      </c>
      <c r="B431" s="1" t="s">
        <v>2139</v>
      </c>
      <c r="C431" s="28" t="s">
        <v>2239</v>
      </c>
      <c r="D431" s="1" t="s">
        <v>29</v>
      </c>
      <c r="E431" s="1" t="s">
        <v>2661</v>
      </c>
      <c r="F431" s="168">
        <v>150</v>
      </c>
      <c r="G431" s="168">
        <v>30</v>
      </c>
      <c r="H431" s="168">
        <v>7</v>
      </c>
      <c r="I431" s="168">
        <v>12</v>
      </c>
      <c r="J431" s="168"/>
      <c r="K431" s="168">
        <v>2.7</v>
      </c>
      <c r="L431" s="168"/>
      <c r="M431" s="1"/>
    </row>
    <row r="432" spans="1:13">
      <c r="A432" s="30">
        <v>430</v>
      </c>
      <c r="B432" s="1" t="s">
        <v>2140</v>
      </c>
      <c r="C432" s="28" t="s">
        <v>2239</v>
      </c>
      <c r="D432" s="1" t="s">
        <v>29</v>
      </c>
      <c r="E432" s="1" t="s">
        <v>2662</v>
      </c>
      <c r="F432" s="168">
        <v>180</v>
      </c>
      <c r="G432" s="168">
        <v>30</v>
      </c>
      <c r="H432" s="168">
        <v>7</v>
      </c>
      <c r="I432" s="168">
        <v>10</v>
      </c>
      <c r="J432" s="168"/>
      <c r="K432" s="168">
        <v>2.7</v>
      </c>
      <c r="L432" s="168"/>
      <c r="M432" s="1"/>
    </row>
    <row r="433" spans="1:13">
      <c r="A433" s="30">
        <v>431</v>
      </c>
      <c r="B433" s="1" t="s">
        <v>2141</v>
      </c>
      <c r="C433" s="28" t="s">
        <v>2239</v>
      </c>
      <c r="D433" s="1" t="s">
        <v>29</v>
      </c>
      <c r="E433" s="1" t="s">
        <v>2663</v>
      </c>
      <c r="F433" s="168">
        <v>210</v>
      </c>
      <c r="G433" s="168">
        <v>30</v>
      </c>
      <c r="H433" s="168">
        <v>7</v>
      </c>
      <c r="I433" s="168">
        <v>8</v>
      </c>
      <c r="J433" s="168"/>
      <c r="K433" s="168">
        <v>2.7</v>
      </c>
      <c r="L433" s="168"/>
      <c r="M433" s="1"/>
    </row>
    <row r="434" spans="1:13">
      <c r="A434" s="30">
        <v>432</v>
      </c>
      <c r="B434" s="1" t="s">
        <v>2142</v>
      </c>
      <c r="C434" s="28" t="s">
        <v>2239</v>
      </c>
      <c r="D434" s="1" t="s">
        <v>29</v>
      </c>
      <c r="E434" s="1" t="s">
        <v>2664</v>
      </c>
      <c r="F434" s="168">
        <v>180</v>
      </c>
      <c r="G434" s="168">
        <v>15</v>
      </c>
      <c r="H434" s="168">
        <v>12</v>
      </c>
      <c r="I434" s="168">
        <v>15</v>
      </c>
      <c r="J434" s="168"/>
      <c r="K434" s="168">
        <v>2.7</v>
      </c>
      <c r="L434" s="168"/>
      <c r="M434" s="1"/>
    </row>
    <row r="435" spans="1:13">
      <c r="A435" s="30">
        <v>433</v>
      </c>
      <c r="B435" s="1" t="s">
        <v>2143</v>
      </c>
      <c r="C435" s="28" t="s">
        <v>2239</v>
      </c>
      <c r="D435" s="1" t="s">
        <v>29</v>
      </c>
      <c r="E435" s="1" t="s">
        <v>2665</v>
      </c>
      <c r="F435" s="168">
        <v>50</v>
      </c>
      <c r="G435" s="168">
        <v>15</v>
      </c>
      <c r="H435" s="168">
        <v>10</v>
      </c>
      <c r="I435" s="168">
        <v>60</v>
      </c>
      <c r="J435" s="168"/>
      <c r="K435" s="168">
        <v>2.7</v>
      </c>
      <c r="L435" s="168"/>
      <c r="M435" s="1"/>
    </row>
    <row r="436" spans="1:13">
      <c r="A436" s="30">
        <v>434</v>
      </c>
      <c r="B436" s="1" t="s">
        <v>2144</v>
      </c>
      <c r="C436" s="28" t="s">
        <v>2239</v>
      </c>
      <c r="D436" s="1" t="s">
        <v>29</v>
      </c>
      <c r="E436" s="1" t="s">
        <v>2666</v>
      </c>
      <c r="F436" s="168">
        <v>60</v>
      </c>
      <c r="G436" s="168">
        <v>10</v>
      </c>
      <c r="H436" s="168">
        <v>10</v>
      </c>
      <c r="I436" s="168">
        <v>60</v>
      </c>
      <c r="J436" s="168"/>
      <c r="K436" s="168">
        <v>2.7</v>
      </c>
      <c r="L436" s="168"/>
      <c r="M436" s="1"/>
    </row>
    <row r="437" spans="1:13">
      <c r="A437" s="30">
        <v>435</v>
      </c>
      <c r="B437" s="1" t="s">
        <v>2145</v>
      </c>
      <c r="C437" s="28" t="s">
        <v>2239</v>
      </c>
      <c r="D437" s="1" t="s">
        <v>29</v>
      </c>
      <c r="E437" s="1" t="s">
        <v>2667</v>
      </c>
      <c r="F437" s="168">
        <v>60</v>
      </c>
      <c r="G437" s="168">
        <v>15</v>
      </c>
      <c r="H437" s="168">
        <v>12</v>
      </c>
      <c r="I437" s="168">
        <v>40</v>
      </c>
      <c r="J437" s="168"/>
      <c r="K437" s="168">
        <v>2.7</v>
      </c>
      <c r="L437" s="168"/>
      <c r="M437" s="1"/>
    </row>
    <row r="438" spans="1:13">
      <c r="A438" s="30">
        <v>436</v>
      </c>
      <c r="B438" s="1" t="s">
        <v>2146</v>
      </c>
      <c r="C438" s="28" t="s">
        <v>2239</v>
      </c>
      <c r="D438" s="1" t="s">
        <v>29</v>
      </c>
      <c r="E438" s="1" t="s">
        <v>2668</v>
      </c>
      <c r="F438" s="168">
        <v>60</v>
      </c>
      <c r="G438" s="168">
        <v>9</v>
      </c>
      <c r="H438" s="168">
        <v>9</v>
      </c>
      <c r="I438" s="168">
        <v>80</v>
      </c>
      <c r="J438" s="168"/>
      <c r="K438" s="168">
        <v>2.7</v>
      </c>
      <c r="L438" s="168"/>
      <c r="M438" s="1"/>
    </row>
    <row r="439" spans="1:13">
      <c r="A439" s="30">
        <v>437</v>
      </c>
      <c r="B439" s="1" t="s">
        <v>2147</v>
      </c>
      <c r="C439" s="28" t="s">
        <v>2239</v>
      </c>
      <c r="D439" s="1" t="s">
        <v>29</v>
      </c>
      <c r="E439" s="1" t="s">
        <v>2669</v>
      </c>
      <c r="F439" s="168">
        <v>90</v>
      </c>
      <c r="G439" s="168">
        <v>10</v>
      </c>
      <c r="H439" s="168">
        <v>10</v>
      </c>
      <c r="I439" s="168">
        <v>40</v>
      </c>
      <c r="J439" s="168"/>
      <c r="K439" s="168">
        <v>2.7</v>
      </c>
      <c r="L439" s="168"/>
      <c r="M439" s="1"/>
    </row>
    <row r="440" spans="1:13">
      <c r="A440" s="30">
        <v>438</v>
      </c>
      <c r="B440" s="1" t="s">
        <v>2148</v>
      </c>
      <c r="C440" s="28" t="s">
        <v>2239</v>
      </c>
      <c r="D440" s="1" t="s">
        <v>29</v>
      </c>
      <c r="E440" s="1" t="s">
        <v>2670</v>
      </c>
      <c r="F440" s="168">
        <v>90</v>
      </c>
      <c r="G440" s="168">
        <v>15</v>
      </c>
      <c r="H440" s="168">
        <v>12</v>
      </c>
      <c r="I440" s="168">
        <v>30</v>
      </c>
      <c r="J440" s="168"/>
      <c r="K440" s="168">
        <v>2.7</v>
      </c>
      <c r="L440" s="168"/>
      <c r="M440" s="1"/>
    </row>
    <row r="441" spans="1:13">
      <c r="A441" s="30">
        <v>439</v>
      </c>
      <c r="B441" s="1" t="s">
        <v>2149</v>
      </c>
      <c r="C441" s="28" t="s">
        <v>2239</v>
      </c>
      <c r="D441" s="1" t="s">
        <v>29</v>
      </c>
      <c r="E441" s="1" t="s">
        <v>2671</v>
      </c>
      <c r="F441" s="168">
        <v>100</v>
      </c>
      <c r="G441" s="168">
        <v>25</v>
      </c>
      <c r="H441" s="168">
        <v>10</v>
      </c>
      <c r="I441" s="168">
        <v>18</v>
      </c>
      <c r="J441" s="168"/>
      <c r="K441" s="168">
        <v>2.7</v>
      </c>
      <c r="L441" s="168"/>
      <c r="M441" s="1"/>
    </row>
    <row r="442" spans="1:13">
      <c r="A442" s="30">
        <v>440</v>
      </c>
      <c r="B442" s="1" t="s">
        <v>2150</v>
      </c>
      <c r="C442" s="28" t="s">
        <v>2239</v>
      </c>
      <c r="D442" s="1" t="s">
        <v>29</v>
      </c>
      <c r="E442" s="1" t="s">
        <v>2672</v>
      </c>
      <c r="F442" s="168">
        <v>100</v>
      </c>
      <c r="G442" s="168">
        <v>25</v>
      </c>
      <c r="H442" s="168">
        <v>10</v>
      </c>
      <c r="I442" s="168">
        <v>20</v>
      </c>
      <c r="J442" s="168"/>
      <c r="K442" s="168">
        <v>2.7</v>
      </c>
      <c r="L442" s="168"/>
      <c r="M442" s="1"/>
    </row>
    <row r="443" spans="1:13">
      <c r="A443" s="30">
        <v>441</v>
      </c>
      <c r="B443" s="1" t="s">
        <v>2151</v>
      </c>
      <c r="C443" s="28" t="s">
        <v>2239</v>
      </c>
      <c r="D443" s="1" t="s">
        <v>29</v>
      </c>
      <c r="E443" s="1" t="s">
        <v>2673</v>
      </c>
      <c r="F443" s="168">
        <v>125</v>
      </c>
      <c r="G443" s="168">
        <v>25</v>
      </c>
      <c r="H443" s="168">
        <v>10</v>
      </c>
      <c r="I443" s="168">
        <v>16</v>
      </c>
      <c r="J443" s="168"/>
      <c r="K443" s="168">
        <v>2.7</v>
      </c>
      <c r="L443" s="168"/>
      <c r="M443" s="1"/>
    </row>
    <row r="444" spans="1:13">
      <c r="A444" s="30">
        <v>442</v>
      </c>
      <c r="B444" s="1" t="s">
        <v>2152</v>
      </c>
      <c r="C444" s="28" t="s">
        <v>2239</v>
      </c>
      <c r="D444" s="1" t="s">
        <v>29</v>
      </c>
      <c r="E444" s="1" t="s">
        <v>2674</v>
      </c>
      <c r="F444" s="168">
        <v>150</v>
      </c>
      <c r="G444" s="168">
        <v>25</v>
      </c>
      <c r="H444" s="168">
        <v>10</v>
      </c>
      <c r="I444" s="168">
        <v>14</v>
      </c>
      <c r="J444" s="168"/>
      <c r="K444" s="168">
        <v>2.7</v>
      </c>
      <c r="L444" s="168"/>
      <c r="M444" s="1"/>
    </row>
    <row r="445" spans="1:13">
      <c r="A445" s="30">
        <v>443</v>
      </c>
      <c r="B445" s="1" t="s">
        <v>2153</v>
      </c>
      <c r="C445" s="28" t="s">
        <v>2239</v>
      </c>
      <c r="D445" s="1" t="s">
        <v>29</v>
      </c>
      <c r="E445" s="1" t="s">
        <v>2675</v>
      </c>
      <c r="F445" s="168">
        <v>150</v>
      </c>
      <c r="G445" s="168">
        <v>25</v>
      </c>
      <c r="H445" s="168">
        <v>10</v>
      </c>
      <c r="I445" s="168">
        <v>16</v>
      </c>
      <c r="J445" s="168"/>
      <c r="K445" s="168">
        <v>2.7</v>
      </c>
      <c r="L445" s="168"/>
      <c r="M445" s="1"/>
    </row>
    <row r="446" spans="1:13">
      <c r="A446" s="30">
        <v>444</v>
      </c>
      <c r="B446" s="1" t="s">
        <v>2154</v>
      </c>
      <c r="C446" s="28" t="s">
        <v>2239</v>
      </c>
      <c r="D446" s="1" t="s">
        <v>29</v>
      </c>
      <c r="E446" s="1" t="s">
        <v>2676</v>
      </c>
      <c r="F446" s="168">
        <v>200</v>
      </c>
      <c r="G446" s="168">
        <v>25</v>
      </c>
      <c r="H446" s="168">
        <v>10</v>
      </c>
      <c r="I446" s="168">
        <v>10</v>
      </c>
      <c r="J446" s="168"/>
      <c r="K446" s="168">
        <v>2.7</v>
      </c>
      <c r="L446" s="168"/>
      <c r="M446" s="1"/>
    </row>
    <row r="447" spans="1:13">
      <c r="A447" s="30">
        <v>445</v>
      </c>
      <c r="B447" s="1" t="s">
        <v>2155</v>
      </c>
      <c r="C447" s="28" t="s">
        <v>2239</v>
      </c>
      <c r="D447" s="1" t="s">
        <v>29</v>
      </c>
      <c r="E447" s="1" t="s">
        <v>2677</v>
      </c>
      <c r="F447" s="168">
        <v>250</v>
      </c>
      <c r="G447" s="168">
        <v>25</v>
      </c>
      <c r="H447" s="168">
        <v>10</v>
      </c>
      <c r="I447" s="168">
        <v>8</v>
      </c>
      <c r="J447" s="168"/>
      <c r="K447" s="168">
        <v>2.7</v>
      </c>
      <c r="L447" s="168"/>
      <c r="M447" s="1"/>
    </row>
    <row r="448" spans="1:13">
      <c r="A448" s="30">
        <v>446</v>
      </c>
      <c r="B448" s="1" t="s">
        <v>2156</v>
      </c>
      <c r="C448" s="28" t="s">
        <v>2239</v>
      </c>
      <c r="D448" s="1" t="s">
        <v>29</v>
      </c>
      <c r="E448" s="1" t="s">
        <v>2678</v>
      </c>
      <c r="F448" s="168">
        <v>50</v>
      </c>
      <c r="G448" s="168">
        <v>25</v>
      </c>
      <c r="H448" s="168">
        <v>10</v>
      </c>
      <c r="I448" s="168">
        <v>36</v>
      </c>
      <c r="J448" s="168"/>
      <c r="K448" s="168">
        <v>2.7</v>
      </c>
      <c r="L448" s="168"/>
      <c r="M448" s="1"/>
    </row>
    <row r="449" spans="1:13">
      <c r="A449" s="30">
        <v>447</v>
      </c>
      <c r="B449" s="1" t="s">
        <v>2157</v>
      </c>
      <c r="C449" s="28" t="s">
        <v>2239</v>
      </c>
      <c r="D449" s="1" t="s">
        <v>29</v>
      </c>
      <c r="E449" s="1" t="s">
        <v>2679</v>
      </c>
      <c r="F449" s="168">
        <v>75</v>
      </c>
      <c r="G449" s="168">
        <v>25</v>
      </c>
      <c r="H449" s="168">
        <v>10</v>
      </c>
      <c r="I449" s="168">
        <v>20</v>
      </c>
      <c r="J449" s="168"/>
      <c r="K449" s="168">
        <v>2.7</v>
      </c>
      <c r="L449" s="168"/>
      <c r="M449" s="1"/>
    </row>
    <row r="450" spans="1:13">
      <c r="A450" s="30">
        <v>448</v>
      </c>
      <c r="B450" s="1" t="s">
        <v>2158</v>
      </c>
      <c r="C450" s="28" t="s">
        <v>2239</v>
      </c>
      <c r="D450" s="1" t="s">
        <v>29</v>
      </c>
      <c r="E450" s="1" t="s">
        <v>2680</v>
      </c>
      <c r="F450" s="168">
        <v>90</v>
      </c>
      <c r="G450" s="168">
        <v>10</v>
      </c>
      <c r="H450" s="168">
        <v>10</v>
      </c>
      <c r="I450" s="168">
        <v>42</v>
      </c>
      <c r="J450" s="168"/>
      <c r="K450" s="168">
        <v>2.7</v>
      </c>
      <c r="L450" s="168"/>
      <c r="M450" s="1"/>
    </row>
    <row r="451" spans="1:13">
      <c r="A451" s="30">
        <v>449</v>
      </c>
      <c r="B451" s="1" t="s">
        <v>2159</v>
      </c>
      <c r="C451" s="28" t="s">
        <v>2239</v>
      </c>
      <c r="D451" s="1" t="s">
        <v>10</v>
      </c>
      <c r="E451" s="1" t="s">
        <v>2681</v>
      </c>
      <c r="F451" s="168">
        <v>30</v>
      </c>
      <c r="G451" s="168">
        <v>30</v>
      </c>
      <c r="H451" s="168">
        <v>6</v>
      </c>
      <c r="I451" s="168">
        <v>72</v>
      </c>
      <c r="J451" s="168"/>
      <c r="K451" s="168">
        <v>2.7</v>
      </c>
      <c r="L451" s="168"/>
      <c r="M451" s="1"/>
    </row>
    <row r="452" spans="1:13">
      <c r="A452" s="30">
        <v>450</v>
      </c>
      <c r="B452" s="1" t="s">
        <v>2160</v>
      </c>
      <c r="C452" s="28" t="s">
        <v>2239</v>
      </c>
      <c r="D452" s="1" t="s">
        <v>10</v>
      </c>
      <c r="E452" s="1" t="s">
        <v>2682</v>
      </c>
      <c r="F452" s="168">
        <v>60</v>
      </c>
      <c r="G452" s="168">
        <v>30</v>
      </c>
      <c r="H452" s="168">
        <v>6</v>
      </c>
      <c r="I452" s="168">
        <v>36</v>
      </c>
      <c r="J452" s="168"/>
      <c r="K452" s="168">
        <v>2.7</v>
      </c>
      <c r="L452" s="168"/>
      <c r="M452" s="1"/>
    </row>
    <row r="453" spans="1:13">
      <c r="A453" s="30">
        <v>451</v>
      </c>
      <c r="B453" s="1" t="s">
        <v>2161</v>
      </c>
      <c r="C453" s="28" t="s">
        <v>2239</v>
      </c>
      <c r="D453" s="1" t="s">
        <v>10</v>
      </c>
      <c r="E453" s="1" t="s">
        <v>2683</v>
      </c>
      <c r="F453" s="168">
        <v>60</v>
      </c>
      <c r="G453" s="168">
        <v>30</v>
      </c>
      <c r="H453" s="168">
        <v>7</v>
      </c>
      <c r="I453" s="168">
        <v>36</v>
      </c>
      <c r="J453" s="168"/>
      <c r="K453" s="168">
        <v>2.7</v>
      </c>
      <c r="L453" s="168"/>
      <c r="M453" s="1"/>
    </row>
    <row r="454" spans="1:13">
      <c r="A454" s="30">
        <v>452</v>
      </c>
      <c r="B454" s="1" t="s">
        <v>2162</v>
      </c>
      <c r="C454" s="28" t="s">
        <v>2239</v>
      </c>
      <c r="D454" s="1" t="s">
        <v>10</v>
      </c>
      <c r="E454" s="1" t="s">
        <v>2684</v>
      </c>
      <c r="F454" s="168">
        <v>60</v>
      </c>
      <c r="G454" s="168">
        <v>40</v>
      </c>
      <c r="H454" s="168">
        <v>6</v>
      </c>
      <c r="I454" s="168">
        <v>28</v>
      </c>
      <c r="J454" s="168"/>
      <c r="K454" s="168">
        <v>2.7</v>
      </c>
      <c r="L454" s="168"/>
      <c r="M454" s="1"/>
    </row>
    <row r="455" spans="1:13">
      <c r="A455" s="30">
        <v>453</v>
      </c>
      <c r="B455" s="1" t="s">
        <v>2163</v>
      </c>
      <c r="C455" s="28" t="s">
        <v>2239</v>
      </c>
      <c r="D455" s="1" t="s">
        <v>10</v>
      </c>
      <c r="E455" s="1" t="s">
        <v>2685</v>
      </c>
      <c r="F455" s="168">
        <v>90</v>
      </c>
      <c r="G455" s="168">
        <v>45</v>
      </c>
      <c r="H455" s="168">
        <v>7</v>
      </c>
      <c r="I455" s="168">
        <v>14</v>
      </c>
      <c r="J455" s="168"/>
      <c r="K455" s="168">
        <v>2.7</v>
      </c>
      <c r="L455" s="168"/>
      <c r="M455" s="1"/>
    </row>
    <row r="456" spans="1:13">
      <c r="A456" s="30">
        <v>454</v>
      </c>
      <c r="B456" s="1" t="s">
        <v>2164</v>
      </c>
      <c r="C456" s="28" t="s">
        <v>2239</v>
      </c>
      <c r="D456" s="1" t="s">
        <v>10</v>
      </c>
      <c r="E456" s="1" t="s">
        <v>2686</v>
      </c>
      <c r="F456" s="168">
        <v>90</v>
      </c>
      <c r="G456" s="168">
        <v>45</v>
      </c>
      <c r="H456" s="168">
        <v>7</v>
      </c>
      <c r="I456" s="168">
        <v>16</v>
      </c>
      <c r="J456" s="168"/>
      <c r="K456" s="168">
        <v>2.7</v>
      </c>
      <c r="L456" s="168"/>
      <c r="M456" s="1"/>
    </row>
    <row r="457" spans="1:13">
      <c r="A457" s="30">
        <v>455</v>
      </c>
      <c r="B457" s="1" t="s">
        <v>2165</v>
      </c>
      <c r="C457" s="28" t="s">
        <v>2239</v>
      </c>
      <c r="D457" s="1" t="s">
        <v>10</v>
      </c>
      <c r="E457" s="1" t="s">
        <v>2687</v>
      </c>
      <c r="F457" s="168">
        <v>90</v>
      </c>
      <c r="G457" s="168">
        <v>60</v>
      </c>
      <c r="H457" s="168">
        <v>8</v>
      </c>
      <c r="I457" s="168">
        <v>10</v>
      </c>
      <c r="J457" s="168"/>
      <c r="K457" s="168">
        <v>2.7</v>
      </c>
      <c r="L457" s="168"/>
      <c r="M457" s="1"/>
    </row>
    <row r="458" spans="1:13">
      <c r="A458" s="30">
        <v>456</v>
      </c>
      <c r="B458" s="1" t="s">
        <v>2166</v>
      </c>
      <c r="C458" s="28" t="s">
        <v>2239</v>
      </c>
      <c r="D458" s="1" t="s">
        <v>10</v>
      </c>
      <c r="E458" s="1" t="s">
        <v>2688</v>
      </c>
      <c r="F458" s="168">
        <v>30</v>
      </c>
      <c r="G458" s="168">
        <v>30</v>
      </c>
      <c r="H458" s="168">
        <v>3</v>
      </c>
      <c r="I458" s="168">
        <v>100</v>
      </c>
      <c r="J458" s="168"/>
      <c r="K458" s="168">
        <v>2.7</v>
      </c>
      <c r="L458" s="168"/>
      <c r="M458" s="1"/>
    </row>
    <row r="459" spans="1:13">
      <c r="A459" s="30">
        <v>457</v>
      </c>
      <c r="B459" s="1" t="s">
        <v>2167</v>
      </c>
      <c r="C459" s="28" t="s">
        <v>2239</v>
      </c>
      <c r="D459" s="1" t="s">
        <v>39</v>
      </c>
      <c r="E459" s="1" t="s">
        <v>2689</v>
      </c>
      <c r="F459" s="168">
        <v>50</v>
      </c>
      <c r="G459" s="168">
        <v>45</v>
      </c>
      <c r="H459" s="168">
        <v>8</v>
      </c>
      <c r="I459" s="168">
        <v>20</v>
      </c>
      <c r="J459" s="168"/>
      <c r="K459" s="168">
        <v>2.7</v>
      </c>
      <c r="L459" s="168"/>
      <c r="M459" s="1"/>
    </row>
    <row r="460" spans="1:13">
      <c r="A460" s="30">
        <v>458</v>
      </c>
      <c r="B460" s="1" t="s">
        <v>2168</v>
      </c>
      <c r="C460" s="28" t="s">
        <v>2240</v>
      </c>
      <c r="D460" s="1" t="s">
        <v>1694</v>
      </c>
      <c r="E460" s="1" t="s">
        <v>2690</v>
      </c>
      <c r="F460" s="168">
        <v>200</v>
      </c>
      <c r="G460" s="168">
        <v>33</v>
      </c>
      <c r="H460" s="168">
        <v>15</v>
      </c>
      <c r="I460" s="168">
        <v>4</v>
      </c>
      <c r="J460" s="168"/>
      <c r="K460" s="172">
        <v>2.9</v>
      </c>
      <c r="L460" s="168"/>
      <c r="M460" s="1"/>
    </row>
    <row r="461" spans="1:13">
      <c r="A461" s="30">
        <v>459</v>
      </c>
      <c r="B461" s="1" t="s">
        <v>2169</v>
      </c>
      <c r="C461" s="28" t="s">
        <v>2240</v>
      </c>
      <c r="D461" s="1" t="s">
        <v>1694</v>
      </c>
      <c r="E461" s="1" t="s">
        <v>2691</v>
      </c>
      <c r="F461" s="168">
        <v>100</v>
      </c>
      <c r="G461" s="168">
        <v>30</v>
      </c>
      <c r="H461" s="168">
        <v>16</v>
      </c>
      <c r="I461" s="168">
        <v>9</v>
      </c>
      <c r="J461" s="168"/>
      <c r="K461" s="172">
        <v>2.9</v>
      </c>
      <c r="L461" s="168"/>
      <c r="M461" s="1"/>
    </row>
    <row r="462" spans="1:13">
      <c r="A462" s="30">
        <v>460</v>
      </c>
      <c r="B462" s="1" t="s">
        <v>2170</v>
      </c>
      <c r="C462" s="28" t="s">
        <v>2240</v>
      </c>
      <c r="D462" s="1" t="s">
        <v>1694</v>
      </c>
      <c r="E462" s="1" t="s">
        <v>2692</v>
      </c>
      <c r="F462" s="168">
        <v>100</v>
      </c>
      <c r="G462" s="168">
        <v>35</v>
      </c>
      <c r="H462" s="168">
        <v>15</v>
      </c>
      <c r="I462" s="168">
        <v>10</v>
      </c>
      <c r="J462" s="168"/>
      <c r="K462" s="172">
        <v>2.9</v>
      </c>
      <c r="L462" s="168"/>
      <c r="M462" s="1"/>
    </row>
    <row r="463" spans="1:13">
      <c r="A463" s="30">
        <v>461</v>
      </c>
      <c r="B463" s="1" t="s">
        <v>2171</v>
      </c>
      <c r="C463" s="28" t="s">
        <v>2240</v>
      </c>
      <c r="D463" s="1" t="s">
        <v>1694</v>
      </c>
      <c r="E463" s="1" t="s">
        <v>2693</v>
      </c>
      <c r="F463" s="168">
        <v>100</v>
      </c>
      <c r="G463" s="168">
        <v>35</v>
      </c>
      <c r="H463" s="168">
        <v>15</v>
      </c>
      <c r="I463" s="168">
        <v>8</v>
      </c>
      <c r="J463" s="168"/>
      <c r="K463" s="172">
        <v>2.9</v>
      </c>
      <c r="L463" s="168"/>
      <c r="M463" s="1"/>
    </row>
    <row r="464" spans="1:13">
      <c r="A464" s="30">
        <v>462</v>
      </c>
      <c r="B464" s="1" t="s">
        <v>2172</v>
      </c>
      <c r="C464" s="28" t="s">
        <v>2240</v>
      </c>
      <c r="D464" s="1" t="s">
        <v>1694</v>
      </c>
      <c r="E464" s="1" t="s">
        <v>2694</v>
      </c>
      <c r="F464" s="168">
        <v>120</v>
      </c>
      <c r="G464" s="168">
        <v>35</v>
      </c>
      <c r="H464" s="168">
        <v>15</v>
      </c>
      <c r="I464" s="168">
        <v>8</v>
      </c>
      <c r="J464" s="168"/>
      <c r="K464" s="172">
        <v>2.9</v>
      </c>
      <c r="L464" s="168"/>
      <c r="M464" s="1"/>
    </row>
    <row r="465" spans="1:13">
      <c r="A465" s="30">
        <v>463</v>
      </c>
      <c r="B465" s="1" t="s">
        <v>2173</v>
      </c>
      <c r="C465" s="28" t="s">
        <v>2240</v>
      </c>
      <c r="D465" s="1" t="s">
        <v>1694</v>
      </c>
      <c r="E465" s="1" t="s">
        <v>2695</v>
      </c>
      <c r="F465" s="168">
        <v>125</v>
      </c>
      <c r="G465" s="168">
        <v>30</v>
      </c>
      <c r="H465" s="168">
        <v>16</v>
      </c>
      <c r="I465" s="168">
        <v>6</v>
      </c>
      <c r="J465" s="168"/>
      <c r="K465" s="172">
        <v>2.9</v>
      </c>
      <c r="L465" s="168"/>
      <c r="M465" s="1"/>
    </row>
    <row r="466" spans="1:13">
      <c r="A466" s="30">
        <v>464</v>
      </c>
      <c r="B466" s="1" t="s">
        <v>2174</v>
      </c>
      <c r="C466" s="28" t="s">
        <v>2240</v>
      </c>
      <c r="D466" s="1" t="s">
        <v>1694</v>
      </c>
      <c r="E466" s="1" t="s">
        <v>2696</v>
      </c>
      <c r="F466" s="168">
        <v>150</v>
      </c>
      <c r="G466" s="168">
        <v>30</v>
      </c>
      <c r="H466" s="168">
        <v>16</v>
      </c>
      <c r="I466" s="168">
        <v>6</v>
      </c>
      <c r="J466" s="168"/>
      <c r="K466" s="172">
        <v>2.9</v>
      </c>
      <c r="L466" s="168"/>
      <c r="M466" s="1"/>
    </row>
    <row r="467" spans="1:13">
      <c r="A467" s="30">
        <v>465</v>
      </c>
      <c r="B467" s="1" t="s">
        <v>2175</v>
      </c>
      <c r="C467" s="28" t="s">
        <v>2240</v>
      </c>
      <c r="D467" s="1" t="s">
        <v>1694</v>
      </c>
      <c r="E467" s="1" t="s">
        <v>2697</v>
      </c>
      <c r="F467" s="168">
        <v>150</v>
      </c>
      <c r="G467" s="168">
        <v>35</v>
      </c>
      <c r="H467" s="168">
        <v>15</v>
      </c>
      <c r="I467" s="168">
        <v>5</v>
      </c>
      <c r="J467" s="168"/>
      <c r="K467" s="172">
        <v>2.9</v>
      </c>
      <c r="L467" s="168"/>
      <c r="M467" s="1"/>
    </row>
    <row r="468" spans="1:13">
      <c r="A468" s="30">
        <v>466</v>
      </c>
      <c r="B468" s="1" t="s">
        <v>2176</v>
      </c>
      <c r="C468" s="28" t="s">
        <v>2240</v>
      </c>
      <c r="D468" s="1" t="s">
        <v>1694</v>
      </c>
      <c r="E468" s="1" t="s">
        <v>2698</v>
      </c>
      <c r="F468" s="168">
        <v>150</v>
      </c>
      <c r="G468" s="168">
        <v>35</v>
      </c>
      <c r="H468" s="168">
        <v>15</v>
      </c>
      <c r="I468" s="168">
        <v>6</v>
      </c>
      <c r="J468" s="168"/>
      <c r="K468" s="172">
        <v>2.9</v>
      </c>
      <c r="L468" s="168"/>
      <c r="M468" s="1"/>
    </row>
    <row r="469" spans="1:13">
      <c r="A469" s="30">
        <v>467</v>
      </c>
      <c r="B469" s="1" t="s">
        <v>2177</v>
      </c>
      <c r="C469" s="28" t="s">
        <v>2240</v>
      </c>
      <c r="D469" s="1" t="s">
        <v>1694</v>
      </c>
      <c r="E469" s="1" t="s">
        <v>2699</v>
      </c>
      <c r="F469" s="168">
        <v>60</v>
      </c>
      <c r="G469" s="168">
        <v>35</v>
      </c>
      <c r="H469" s="168">
        <v>15</v>
      </c>
      <c r="I469" s="168">
        <v>16</v>
      </c>
      <c r="J469" s="168"/>
      <c r="K469" s="172">
        <v>2.9</v>
      </c>
      <c r="L469" s="168"/>
      <c r="M469" s="1"/>
    </row>
    <row r="470" spans="1:13">
      <c r="A470" s="30">
        <v>468</v>
      </c>
      <c r="B470" s="1" t="s">
        <v>2178</v>
      </c>
      <c r="C470" s="28" t="s">
        <v>2240</v>
      </c>
      <c r="D470" s="1" t="s">
        <v>1694</v>
      </c>
      <c r="E470" s="1" t="s">
        <v>2700</v>
      </c>
      <c r="F470" s="168">
        <v>80</v>
      </c>
      <c r="G470" s="168">
        <v>35</v>
      </c>
      <c r="H470" s="168">
        <v>15</v>
      </c>
      <c r="I470" s="168">
        <v>12</v>
      </c>
      <c r="J470" s="168"/>
      <c r="K470" s="172">
        <v>2.9</v>
      </c>
      <c r="L470" s="168"/>
      <c r="M470" s="1"/>
    </row>
    <row r="471" spans="1:13">
      <c r="A471" s="30">
        <v>469</v>
      </c>
      <c r="B471" s="1" t="s">
        <v>2179</v>
      </c>
      <c r="C471" s="28" t="s">
        <v>2240</v>
      </c>
      <c r="D471" s="1" t="s">
        <v>1710</v>
      </c>
      <c r="E471" s="1" t="s">
        <v>2701</v>
      </c>
      <c r="F471" s="168">
        <v>60</v>
      </c>
      <c r="G471" s="168">
        <v>20</v>
      </c>
      <c r="H471" s="168">
        <v>6</v>
      </c>
      <c r="I471" s="168">
        <v>48</v>
      </c>
      <c r="J471" s="168"/>
      <c r="K471" s="172">
        <v>2.9</v>
      </c>
      <c r="L471" s="168"/>
      <c r="M471" s="1"/>
    </row>
    <row r="472" spans="1:13">
      <c r="A472" s="30">
        <v>470</v>
      </c>
      <c r="B472" s="1" t="s">
        <v>2180</v>
      </c>
      <c r="C472" s="28" t="s">
        <v>2240</v>
      </c>
      <c r="D472" s="1" t="s">
        <v>1696</v>
      </c>
      <c r="E472" s="1" t="s">
        <v>2702</v>
      </c>
      <c r="F472" s="168">
        <v>19</v>
      </c>
      <c r="G472" s="168">
        <v>9</v>
      </c>
      <c r="H472" s="168">
        <v>9</v>
      </c>
      <c r="I472" s="168">
        <v>250</v>
      </c>
      <c r="J472" s="168"/>
      <c r="K472" s="172">
        <v>2.9</v>
      </c>
      <c r="L472" s="168"/>
      <c r="M472" s="1"/>
    </row>
    <row r="473" spans="1:13">
      <c r="A473" s="30">
        <v>471</v>
      </c>
      <c r="B473" s="1" t="s">
        <v>2181</v>
      </c>
      <c r="C473" s="28" t="s">
        <v>2240</v>
      </c>
      <c r="D473" s="1" t="s">
        <v>1696</v>
      </c>
      <c r="E473" s="1" t="s">
        <v>2703</v>
      </c>
      <c r="F473" s="168">
        <v>9</v>
      </c>
      <c r="G473" s="168">
        <v>9</v>
      </c>
      <c r="H473" s="168">
        <v>5</v>
      </c>
      <c r="I473" s="168">
        <v>1000</v>
      </c>
      <c r="J473" s="168"/>
      <c r="K473" s="172">
        <v>2.9</v>
      </c>
      <c r="L473" s="168"/>
      <c r="M473" s="1"/>
    </row>
    <row r="474" spans="1:13">
      <c r="A474" s="30">
        <v>472</v>
      </c>
      <c r="B474" s="1" t="s">
        <v>2182</v>
      </c>
      <c r="C474" s="28" t="s">
        <v>2240</v>
      </c>
      <c r="D474" s="1" t="s">
        <v>1696</v>
      </c>
      <c r="E474" s="1" t="s">
        <v>2704</v>
      </c>
      <c r="F474" s="168">
        <v>9</v>
      </c>
      <c r="G474" s="168">
        <v>9</v>
      </c>
      <c r="H474" s="168">
        <v>9</v>
      </c>
      <c r="I474" s="168">
        <v>500</v>
      </c>
      <c r="J474" s="168"/>
      <c r="K474" s="172">
        <v>2.9</v>
      </c>
      <c r="L474" s="168"/>
      <c r="M474" s="1"/>
    </row>
    <row r="475" spans="1:13">
      <c r="A475" s="30">
        <v>473</v>
      </c>
      <c r="B475" s="1" t="s">
        <v>2183</v>
      </c>
      <c r="C475" s="28" t="s">
        <v>2240</v>
      </c>
      <c r="D475" s="1" t="s">
        <v>1696</v>
      </c>
      <c r="E475" s="1" t="s">
        <v>2705</v>
      </c>
      <c r="F475" s="168">
        <v>19</v>
      </c>
      <c r="G475" s="168">
        <v>9</v>
      </c>
      <c r="H475" s="168">
        <v>9</v>
      </c>
      <c r="I475" s="168">
        <v>250</v>
      </c>
      <c r="J475" s="168"/>
      <c r="K475" s="172">
        <v>2.9</v>
      </c>
      <c r="L475" s="168"/>
      <c r="M475" s="1"/>
    </row>
    <row r="476" spans="1:13">
      <c r="A476" s="30">
        <v>474</v>
      </c>
      <c r="B476" s="1" t="s">
        <v>2184</v>
      </c>
      <c r="C476" s="28" t="s">
        <v>2240</v>
      </c>
      <c r="D476" s="1" t="s">
        <v>1696</v>
      </c>
      <c r="E476" s="1" t="s">
        <v>2706</v>
      </c>
      <c r="F476" s="168">
        <v>29</v>
      </c>
      <c r="G476" s="168">
        <v>9</v>
      </c>
      <c r="H476" s="168">
        <v>9</v>
      </c>
      <c r="I476" s="168">
        <v>180</v>
      </c>
      <c r="J476" s="168"/>
      <c r="K476" s="172">
        <v>2.9</v>
      </c>
      <c r="L476" s="168"/>
      <c r="M476" s="1"/>
    </row>
    <row r="477" spans="1:13">
      <c r="A477" s="30">
        <v>475</v>
      </c>
      <c r="B477" s="1" t="s">
        <v>2185</v>
      </c>
      <c r="C477" s="28" t="s">
        <v>2240</v>
      </c>
      <c r="D477" s="1" t="s">
        <v>1696</v>
      </c>
      <c r="E477" s="1" t="s">
        <v>2707</v>
      </c>
      <c r="F477" s="168">
        <v>10</v>
      </c>
      <c r="G477" s="168">
        <v>10</v>
      </c>
      <c r="H477" s="168">
        <v>3</v>
      </c>
      <c r="I477" s="168">
        <v>1980</v>
      </c>
      <c r="J477" s="168"/>
      <c r="K477" s="172">
        <v>2.9</v>
      </c>
      <c r="L477" s="168"/>
      <c r="M477" s="1"/>
    </row>
    <row r="478" spans="1:13">
      <c r="A478" s="30">
        <v>476</v>
      </c>
      <c r="B478" s="1" t="s">
        <v>2186</v>
      </c>
      <c r="C478" s="28" t="s">
        <v>2240</v>
      </c>
      <c r="D478" s="1" t="s">
        <v>1696</v>
      </c>
      <c r="E478" s="1" t="s">
        <v>2708</v>
      </c>
      <c r="F478" s="168">
        <v>10</v>
      </c>
      <c r="G478" s="168">
        <v>10</v>
      </c>
      <c r="H478" s="168">
        <v>6</v>
      </c>
      <c r="I478" s="168">
        <v>900</v>
      </c>
      <c r="J478" s="168"/>
      <c r="K478" s="172">
        <v>2.9</v>
      </c>
      <c r="L478" s="168"/>
      <c r="M478" s="1"/>
    </row>
    <row r="479" spans="1:13">
      <c r="A479" s="30">
        <v>477</v>
      </c>
      <c r="B479" s="1" t="s">
        <v>2187</v>
      </c>
      <c r="C479" s="28" t="s">
        <v>2240</v>
      </c>
      <c r="D479" s="1" t="s">
        <v>10</v>
      </c>
      <c r="E479" s="1" t="s">
        <v>2709</v>
      </c>
      <c r="F479" s="168">
        <v>60</v>
      </c>
      <c r="G479" s="168">
        <v>30</v>
      </c>
      <c r="H479" s="168">
        <v>6</v>
      </c>
      <c r="I479" s="168">
        <v>36</v>
      </c>
      <c r="J479" s="168"/>
      <c r="K479" s="172">
        <v>2.9</v>
      </c>
      <c r="L479" s="168"/>
      <c r="M479" s="1"/>
    </row>
    <row r="480" spans="1:13">
      <c r="A480" s="30">
        <v>478</v>
      </c>
      <c r="B480" s="1" t="s">
        <v>2188</v>
      </c>
      <c r="C480" s="28" t="s">
        <v>2240</v>
      </c>
      <c r="D480" s="1" t="s">
        <v>29</v>
      </c>
      <c r="E480" s="1" t="s">
        <v>2710</v>
      </c>
      <c r="F480" s="168">
        <v>60</v>
      </c>
      <c r="G480" s="168">
        <v>40</v>
      </c>
      <c r="H480" s="168">
        <v>6</v>
      </c>
      <c r="I480" s="168">
        <v>28</v>
      </c>
      <c r="J480" s="168"/>
      <c r="K480" s="172">
        <v>2.9</v>
      </c>
      <c r="L480" s="168"/>
      <c r="M480" s="1"/>
    </row>
    <row r="481" spans="1:13">
      <c r="A481" s="30">
        <v>479</v>
      </c>
      <c r="B481" s="1" t="s">
        <v>2189</v>
      </c>
      <c r="C481" s="28" t="s">
        <v>2240</v>
      </c>
      <c r="D481" s="1" t="s">
        <v>29</v>
      </c>
      <c r="E481" s="1" t="s">
        <v>2711</v>
      </c>
      <c r="F481" s="168">
        <v>100</v>
      </c>
      <c r="G481" s="168">
        <v>20</v>
      </c>
      <c r="H481" s="168">
        <v>8</v>
      </c>
      <c r="I481" s="168">
        <v>24</v>
      </c>
      <c r="J481" s="168"/>
      <c r="K481" s="172">
        <v>2.9</v>
      </c>
      <c r="L481" s="168"/>
      <c r="M481" s="1"/>
    </row>
    <row r="482" spans="1:13">
      <c r="A482" s="30">
        <v>480</v>
      </c>
      <c r="B482" s="1" t="s">
        <v>2190</v>
      </c>
      <c r="C482" s="28" t="s">
        <v>2240</v>
      </c>
      <c r="D482" s="1" t="s">
        <v>29</v>
      </c>
      <c r="E482" s="1" t="s">
        <v>2712</v>
      </c>
      <c r="F482" s="168">
        <v>100</v>
      </c>
      <c r="G482" s="168">
        <v>25</v>
      </c>
      <c r="H482" s="168">
        <v>10</v>
      </c>
      <c r="I482" s="168">
        <v>20</v>
      </c>
      <c r="J482" s="168"/>
      <c r="K482" s="172">
        <v>2.9</v>
      </c>
      <c r="L482" s="168"/>
      <c r="M482" s="1"/>
    </row>
    <row r="483" spans="1:13">
      <c r="A483" s="30">
        <v>481</v>
      </c>
      <c r="B483" s="1" t="s">
        <v>2191</v>
      </c>
      <c r="C483" s="28" t="s">
        <v>2240</v>
      </c>
      <c r="D483" s="1" t="s">
        <v>29</v>
      </c>
      <c r="E483" s="1" t="s">
        <v>2713</v>
      </c>
      <c r="F483" s="168">
        <v>100</v>
      </c>
      <c r="G483" s="168">
        <v>25</v>
      </c>
      <c r="H483" s="168">
        <v>6</v>
      </c>
      <c r="I483" s="168">
        <v>32</v>
      </c>
      <c r="J483" s="168"/>
      <c r="K483" s="172">
        <v>2.9</v>
      </c>
      <c r="L483" s="168"/>
      <c r="M483" s="1"/>
    </row>
    <row r="484" spans="1:13">
      <c r="A484" s="30">
        <v>482</v>
      </c>
      <c r="B484" s="1" t="s">
        <v>2192</v>
      </c>
      <c r="C484" s="28" t="s">
        <v>2240</v>
      </c>
      <c r="D484" s="1" t="s">
        <v>29</v>
      </c>
      <c r="E484" s="1" t="s">
        <v>2714</v>
      </c>
      <c r="F484" s="168">
        <v>100</v>
      </c>
      <c r="G484" s="168">
        <v>25</v>
      </c>
      <c r="H484" s="168">
        <v>8</v>
      </c>
      <c r="I484" s="168">
        <v>20</v>
      </c>
      <c r="J484" s="168"/>
      <c r="K484" s="172">
        <v>2.9</v>
      </c>
      <c r="L484" s="168"/>
      <c r="M484" s="1"/>
    </row>
    <row r="485" spans="1:13">
      <c r="A485" s="30">
        <v>483</v>
      </c>
      <c r="B485" s="1" t="s">
        <v>2193</v>
      </c>
      <c r="C485" s="28" t="s">
        <v>2240</v>
      </c>
      <c r="D485" s="1" t="s">
        <v>29</v>
      </c>
      <c r="E485" s="1" t="s">
        <v>2715</v>
      </c>
      <c r="F485" s="168">
        <v>100</v>
      </c>
      <c r="G485" s="168">
        <v>25</v>
      </c>
      <c r="H485" s="168">
        <v>8</v>
      </c>
      <c r="I485" s="168">
        <v>24</v>
      </c>
      <c r="J485" s="168"/>
      <c r="K485" s="172">
        <v>2.9</v>
      </c>
      <c r="L485" s="168"/>
      <c r="M485" s="1"/>
    </row>
    <row r="486" spans="1:13">
      <c r="A486" s="30">
        <v>484</v>
      </c>
      <c r="B486" s="1" t="s">
        <v>2194</v>
      </c>
      <c r="C486" s="28" t="s">
        <v>2240</v>
      </c>
      <c r="D486" s="1" t="s">
        <v>29</v>
      </c>
      <c r="E486" s="1" t="s">
        <v>2716</v>
      </c>
      <c r="F486" s="168">
        <v>120</v>
      </c>
      <c r="G486" s="168">
        <v>25</v>
      </c>
      <c r="H486" s="168">
        <v>10</v>
      </c>
      <c r="I486" s="168">
        <v>14</v>
      </c>
      <c r="J486" s="168"/>
      <c r="K486" s="172">
        <v>2.9</v>
      </c>
      <c r="L486" s="168"/>
      <c r="M486" s="1"/>
    </row>
    <row r="487" spans="1:13">
      <c r="A487" s="30">
        <v>485</v>
      </c>
      <c r="B487" s="1" t="s">
        <v>2195</v>
      </c>
      <c r="C487" s="28" t="s">
        <v>2240</v>
      </c>
      <c r="D487" s="1" t="s">
        <v>29</v>
      </c>
      <c r="E487" s="1" t="s">
        <v>2717</v>
      </c>
      <c r="F487" s="168">
        <v>120</v>
      </c>
      <c r="G487" s="168">
        <v>25</v>
      </c>
      <c r="H487" s="168">
        <v>10</v>
      </c>
      <c r="I487" s="168">
        <v>18</v>
      </c>
      <c r="J487" s="168"/>
      <c r="K487" s="172">
        <v>2.9</v>
      </c>
      <c r="L487" s="168"/>
      <c r="M487" s="1"/>
    </row>
    <row r="488" spans="1:13">
      <c r="A488" s="30">
        <v>486</v>
      </c>
      <c r="B488" s="1" t="s">
        <v>2196</v>
      </c>
      <c r="C488" s="28" t="s">
        <v>2240</v>
      </c>
      <c r="D488" s="1" t="s">
        <v>29</v>
      </c>
      <c r="E488" s="1" t="s">
        <v>2718</v>
      </c>
      <c r="F488" s="168">
        <v>125</v>
      </c>
      <c r="G488" s="168">
        <v>25</v>
      </c>
      <c r="H488" s="168">
        <v>8</v>
      </c>
      <c r="I488" s="168">
        <v>18</v>
      </c>
      <c r="J488" s="168"/>
      <c r="K488" s="172">
        <v>2.9</v>
      </c>
      <c r="L488" s="168"/>
      <c r="M488" s="1"/>
    </row>
    <row r="489" spans="1:13">
      <c r="A489" s="30">
        <v>487</v>
      </c>
      <c r="B489" s="1" t="s">
        <v>2197</v>
      </c>
      <c r="C489" s="28" t="s">
        <v>2240</v>
      </c>
      <c r="D489" s="1" t="s">
        <v>29</v>
      </c>
      <c r="E489" s="1" t="s">
        <v>2719</v>
      </c>
      <c r="F489" s="168">
        <v>150</v>
      </c>
      <c r="G489" s="168">
        <v>25</v>
      </c>
      <c r="H489" s="168">
        <v>10</v>
      </c>
      <c r="I489" s="168">
        <v>14</v>
      </c>
      <c r="J489" s="168"/>
      <c r="K489" s="172">
        <v>2.9</v>
      </c>
      <c r="L489" s="168"/>
      <c r="M489" s="1"/>
    </row>
    <row r="490" spans="1:13">
      <c r="A490" s="30">
        <v>488</v>
      </c>
      <c r="B490" s="1" t="s">
        <v>2198</v>
      </c>
      <c r="C490" s="28" t="s">
        <v>2240</v>
      </c>
      <c r="D490" s="1" t="s">
        <v>29</v>
      </c>
      <c r="E490" s="1" t="s">
        <v>2720</v>
      </c>
      <c r="F490" s="168">
        <v>150</v>
      </c>
      <c r="G490" s="168">
        <v>25</v>
      </c>
      <c r="H490" s="168">
        <v>8</v>
      </c>
      <c r="I490" s="168">
        <v>16</v>
      </c>
      <c r="J490" s="168"/>
      <c r="K490" s="172">
        <v>2.9</v>
      </c>
      <c r="L490" s="168"/>
      <c r="M490" s="1"/>
    </row>
    <row r="491" spans="1:13">
      <c r="A491" s="30">
        <v>489</v>
      </c>
      <c r="B491" s="1" t="s">
        <v>2199</v>
      </c>
      <c r="C491" s="28" t="s">
        <v>2240</v>
      </c>
      <c r="D491" s="1" t="s">
        <v>29</v>
      </c>
      <c r="E491" s="1" t="s">
        <v>2721</v>
      </c>
      <c r="F491" s="168">
        <v>180</v>
      </c>
      <c r="G491" s="168">
        <v>25</v>
      </c>
      <c r="H491" s="168">
        <v>10</v>
      </c>
      <c r="I491" s="168">
        <v>12</v>
      </c>
      <c r="J491" s="168"/>
      <c r="K491" s="172">
        <v>2.9</v>
      </c>
      <c r="L491" s="168"/>
      <c r="M491" s="1"/>
    </row>
    <row r="492" spans="1:13">
      <c r="A492" s="30">
        <v>490</v>
      </c>
      <c r="B492" s="1" t="s">
        <v>2200</v>
      </c>
      <c r="C492" s="28" t="s">
        <v>2240</v>
      </c>
      <c r="D492" s="1" t="s">
        <v>29</v>
      </c>
      <c r="E492" s="1" t="s">
        <v>2722</v>
      </c>
      <c r="F492" s="168">
        <v>200</v>
      </c>
      <c r="G492" s="168">
        <v>25</v>
      </c>
      <c r="H492" s="168">
        <v>10</v>
      </c>
      <c r="I492" s="168">
        <v>10</v>
      </c>
      <c r="J492" s="168"/>
      <c r="K492" s="172">
        <v>2.9</v>
      </c>
      <c r="L492" s="168"/>
      <c r="M492" s="1"/>
    </row>
    <row r="493" spans="1:13">
      <c r="A493" s="30">
        <v>491</v>
      </c>
      <c r="B493" s="1" t="s">
        <v>2201</v>
      </c>
      <c r="C493" s="28" t="s">
        <v>2240</v>
      </c>
      <c r="D493" s="1" t="s">
        <v>29</v>
      </c>
      <c r="E493" s="1" t="s">
        <v>2723</v>
      </c>
      <c r="F493" s="168">
        <v>250</v>
      </c>
      <c r="G493" s="168">
        <v>25</v>
      </c>
      <c r="H493" s="168">
        <v>10</v>
      </c>
      <c r="I493" s="168">
        <v>8</v>
      </c>
      <c r="J493" s="168"/>
      <c r="K493" s="172">
        <v>2.9</v>
      </c>
      <c r="L493" s="168"/>
      <c r="M493" s="1"/>
    </row>
    <row r="494" spans="1:13">
      <c r="A494" s="30">
        <v>492</v>
      </c>
      <c r="B494" s="1" t="s">
        <v>2202</v>
      </c>
      <c r="C494" s="28" t="s">
        <v>2240</v>
      </c>
      <c r="D494" s="1" t="s">
        <v>29</v>
      </c>
      <c r="E494" s="1" t="s">
        <v>2724</v>
      </c>
      <c r="F494" s="168">
        <v>40</v>
      </c>
      <c r="G494" s="168">
        <v>25</v>
      </c>
      <c r="H494" s="168">
        <v>10</v>
      </c>
      <c r="I494" s="168">
        <v>40</v>
      </c>
      <c r="J494" s="168"/>
      <c r="K494" s="172">
        <v>2.9</v>
      </c>
      <c r="L494" s="168"/>
      <c r="M494" s="1"/>
    </row>
    <row r="495" spans="1:13">
      <c r="A495" s="30">
        <v>493</v>
      </c>
      <c r="B495" s="1" t="s">
        <v>2203</v>
      </c>
      <c r="C495" s="28" t="s">
        <v>2240</v>
      </c>
      <c r="D495" s="1" t="s">
        <v>29</v>
      </c>
      <c r="E495" s="1" t="s">
        <v>2725</v>
      </c>
      <c r="F495" s="168">
        <v>50</v>
      </c>
      <c r="G495" s="168">
        <v>25</v>
      </c>
      <c r="H495" s="168">
        <v>8</v>
      </c>
      <c r="I495" s="168">
        <v>48</v>
      </c>
      <c r="J495" s="168"/>
      <c r="K495" s="172">
        <v>2.9</v>
      </c>
      <c r="L495" s="168"/>
      <c r="M495" s="1"/>
    </row>
    <row r="496" spans="1:13">
      <c r="A496" s="30">
        <v>494</v>
      </c>
      <c r="B496" s="1" t="s">
        <v>2204</v>
      </c>
      <c r="C496" s="28" t="s">
        <v>2240</v>
      </c>
      <c r="D496" s="1" t="s">
        <v>29</v>
      </c>
      <c r="E496" s="1" t="s">
        <v>2726</v>
      </c>
      <c r="F496" s="168">
        <v>60</v>
      </c>
      <c r="G496" s="168">
        <v>25</v>
      </c>
      <c r="H496" s="168">
        <v>10</v>
      </c>
      <c r="I496" s="168">
        <v>28</v>
      </c>
      <c r="J496" s="168"/>
      <c r="K496" s="172">
        <v>2.9</v>
      </c>
      <c r="L496" s="168"/>
      <c r="M496" s="1"/>
    </row>
    <row r="497" spans="1:13">
      <c r="A497" s="30">
        <v>495</v>
      </c>
      <c r="B497" s="1" t="s">
        <v>2205</v>
      </c>
      <c r="C497" s="28" t="s">
        <v>2240</v>
      </c>
      <c r="D497" s="1" t="s">
        <v>29</v>
      </c>
      <c r="E497" s="1" t="s">
        <v>2727</v>
      </c>
      <c r="F497" s="168">
        <v>60</v>
      </c>
      <c r="G497" s="168">
        <v>25</v>
      </c>
      <c r="H497" s="168">
        <v>10</v>
      </c>
      <c r="I497" s="168">
        <v>36</v>
      </c>
      <c r="J497" s="168"/>
      <c r="K497" s="172">
        <v>2.9</v>
      </c>
      <c r="L497" s="168"/>
      <c r="M497" s="1"/>
    </row>
    <row r="498" spans="1:13">
      <c r="A498" s="30">
        <v>496</v>
      </c>
      <c r="B498" s="1" t="s">
        <v>2206</v>
      </c>
      <c r="C498" s="28" t="s">
        <v>2240</v>
      </c>
      <c r="D498" s="1" t="s">
        <v>29</v>
      </c>
      <c r="E498" s="1" t="s">
        <v>2728</v>
      </c>
      <c r="F498" s="168">
        <v>75</v>
      </c>
      <c r="G498" s="168">
        <v>25</v>
      </c>
      <c r="H498" s="168">
        <v>8</v>
      </c>
      <c r="I498" s="168">
        <v>28</v>
      </c>
      <c r="J498" s="168"/>
      <c r="K498" s="172">
        <v>2.9</v>
      </c>
      <c r="L498" s="168"/>
      <c r="M498" s="1"/>
    </row>
    <row r="499" spans="1:13">
      <c r="A499" s="30">
        <v>497</v>
      </c>
      <c r="B499" s="1" t="s">
        <v>2207</v>
      </c>
      <c r="C499" s="28" t="s">
        <v>2240</v>
      </c>
      <c r="D499" s="1" t="s">
        <v>29</v>
      </c>
      <c r="E499" s="1" t="s">
        <v>2729</v>
      </c>
      <c r="F499" s="168">
        <v>80</v>
      </c>
      <c r="G499" s="168">
        <v>25</v>
      </c>
      <c r="H499" s="168">
        <v>10</v>
      </c>
      <c r="I499" s="168">
        <v>24</v>
      </c>
      <c r="J499" s="168"/>
      <c r="K499" s="172">
        <v>2.9</v>
      </c>
      <c r="L499" s="168"/>
      <c r="M499" s="1"/>
    </row>
    <row r="500" spans="1:13">
      <c r="A500" s="30">
        <v>498</v>
      </c>
      <c r="B500" s="1" t="s">
        <v>2208</v>
      </c>
      <c r="C500" s="28" t="s">
        <v>2240</v>
      </c>
      <c r="D500" s="1" t="s">
        <v>10</v>
      </c>
      <c r="E500" s="1" t="s">
        <v>2730</v>
      </c>
      <c r="F500" s="168">
        <v>100</v>
      </c>
      <c r="G500" s="168">
        <v>100</v>
      </c>
      <c r="H500" s="168">
        <v>3</v>
      </c>
      <c r="I500" s="168">
        <v>14</v>
      </c>
      <c r="J500" s="168"/>
      <c r="K500" s="172">
        <v>2.9</v>
      </c>
      <c r="L500" s="168"/>
      <c r="M500" s="1"/>
    </row>
    <row r="501" spans="1:13">
      <c r="A501" s="30">
        <v>499</v>
      </c>
      <c r="B501" s="1" t="s">
        <v>2209</v>
      </c>
      <c r="C501" s="28" t="s">
        <v>2240</v>
      </c>
      <c r="D501" s="1" t="s">
        <v>10</v>
      </c>
      <c r="E501" s="1" t="s">
        <v>2731</v>
      </c>
      <c r="F501" s="168">
        <v>100</v>
      </c>
      <c r="G501" s="168">
        <v>35</v>
      </c>
      <c r="H501" s="168">
        <v>3</v>
      </c>
      <c r="I501" s="168">
        <v>30</v>
      </c>
      <c r="J501" s="168"/>
      <c r="K501" s="172">
        <v>2.9</v>
      </c>
      <c r="L501" s="168"/>
      <c r="M501" s="1"/>
    </row>
    <row r="502" spans="1:13">
      <c r="A502" s="30">
        <v>500</v>
      </c>
      <c r="B502" s="1" t="s">
        <v>2210</v>
      </c>
      <c r="C502" s="28" t="s">
        <v>2240</v>
      </c>
      <c r="D502" s="1" t="s">
        <v>10</v>
      </c>
      <c r="E502" s="1" t="s">
        <v>2732</v>
      </c>
      <c r="F502" s="168">
        <v>100</v>
      </c>
      <c r="G502" s="168">
        <v>50</v>
      </c>
      <c r="H502" s="168">
        <v>3</v>
      </c>
      <c r="I502" s="168">
        <v>24</v>
      </c>
      <c r="J502" s="168"/>
      <c r="K502" s="172">
        <v>2.9</v>
      </c>
      <c r="L502" s="168"/>
      <c r="M502" s="1"/>
    </row>
    <row r="503" spans="1:13">
      <c r="A503" s="30">
        <v>501</v>
      </c>
      <c r="B503" s="1" t="s">
        <v>2211</v>
      </c>
      <c r="C503" s="28" t="s">
        <v>2240</v>
      </c>
      <c r="D503" s="1" t="s">
        <v>10</v>
      </c>
      <c r="E503" s="1" t="s">
        <v>2733</v>
      </c>
      <c r="F503" s="168">
        <v>40</v>
      </c>
      <c r="G503" s="168">
        <v>40</v>
      </c>
      <c r="H503" s="168">
        <v>3</v>
      </c>
      <c r="I503" s="168">
        <v>100</v>
      </c>
      <c r="J503" s="168"/>
      <c r="K503" s="172">
        <v>2.9</v>
      </c>
      <c r="L503" s="168"/>
      <c r="M503" s="1"/>
    </row>
    <row r="504" spans="1:13">
      <c r="A504" s="30">
        <v>502</v>
      </c>
      <c r="B504" s="1" t="s">
        <v>2212</v>
      </c>
      <c r="C504" s="28" t="s">
        <v>2240</v>
      </c>
      <c r="D504" s="1" t="s">
        <v>10</v>
      </c>
      <c r="E504" s="1" t="s">
        <v>2734</v>
      </c>
      <c r="F504" s="168">
        <v>50</v>
      </c>
      <c r="G504" s="168">
        <v>50</v>
      </c>
      <c r="H504" s="168">
        <v>2</v>
      </c>
      <c r="I504" s="168">
        <v>50</v>
      </c>
      <c r="J504" s="168"/>
      <c r="K504" s="172">
        <v>2.9</v>
      </c>
      <c r="L504" s="168"/>
      <c r="M504" s="1"/>
    </row>
    <row r="505" spans="1:13">
      <c r="A505" s="30">
        <v>503</v>
      </c>
      <c r="B505" s="1" t="s">
        <v>2213</v>
      </c>
      <c r="C505" s="28" t="s">
        <v>2240</v>
      </c>
      <c r="D505" s="1" t="s">
        <v>10</v>
      </c>
      <c r="E505" s="1" t="s">
        <v>2735</v>
      </c>
      <c r="F505" s="168">
        <v>50</v>
      </c>
      <c r="G505" s="168">
        <v>50</v>
      </c>
      <c r="H505" s="168">
        <v>3</v>
      </c>
      <c r="I505" s="168">
        <v>34</v>
      </c>
      <c r="J505" s="168"/>
      <c r="K505" s="172">
        <v>2.9</v>
      </c>
      <c r="L505" s="168"/>
      <c r="M505" s="1"/>
    </row>
    <row r="506" spans="1:13">
      <c r="A506" s="30">
        <v>504</v>
      </c>
      <c r="B506" s="1" t="s">
        <v>2214</v>
      </c>
      <c r="C506" s="28" t="s">
        <v>2240</v>
      </c>
      <c r="D506" s="1" t="s">
        <v>10</v>
      </c>
      <c r="E506" s="1" t="s">
        <v>2736</v>
      </c>
      <c r="F506" s="168">
        <v>60</v>
      </c>
      <c r="G506" s="168">
        <v>40</v>
      </c>
      <c r="H506" s="168">
        <v>2</v>
      </c>
      <c r="I506" s="168">
        <v>50</v>
      </c>
      <c r="J506" s="168"/>
      <c r="K506" s="172">
        <v>2.9</v>
      </c>
      <c r="L506" s="168"/>
      <c r="M506" s="1"/>
    </row>
    <row r="507" spans="1:13">
      <c r="A507" s="30">
        <v>505</v>
      </c>
      <c r="B507" s="1" t="s">
        <v>2215</v>
      </c>
      <c r="C507" s="28" t="s">
        <v>2240</v>
      </c>
      <c r="D507" s="1" t="s">
        <v>10</v>
      </c>
      <c r="E507" s="1" t="s">
        <v>2737</v>
      </c>
      <c r="F507" s="168">
        <v>60</v>
      </c>
      <c r="G507" s="168">
        <v>40</v>
      </c>
      <c r="H507" s="168">
        <v>3</v>
      </c>
      <c r="I507" s="168">
        <v>34</v>
      </c>
      <c r="J507" s="168"/>
      <c r="K507" s="172">
        <v>2.9</v>
      </c>
      <c r="L507" s="168"/>
      <c r="M507" s="1"/>
    </row>
    <row r="508" spans="1:13">
      <c r="A508" s="30">
        <v>506</v>
      </c>
      <c r="B508" s="1" t="s">
        <v>2216</v>
      </c>
      <c r="C508" s="28" t="s">
        <v>2240</v>
      </c>
      <c r="D508" s="1" t="s">
        <v>10</v>
      </c>
      <c r="E508" s="1" t="s">
        <v>2738</v>
      </c>
      <c r="F508" s="168">
        <v>60</v>
      </c>
      <c r="G508" s="168">
        <v>40</v>
      </c>
      <c r="H508" s="168">
        <v>3</v>
      </c>
      <c r="I508" s="168">
        <v>68</v>
      </c>
      <c r="J508" s="168"/>
      <c r="K508" s="172">
        <v>2.9</v>
      </c>
      <c r="L508" s="168"/>
      <c r="M508" s="1"/>
    </row>
    <row r="509" spans="1:13">
      <c r="A509" s="30">
        <v>507</v>
      </c>
      <c r="B509" s="1" t="s">
        <v>2217</v>
      </c>
      <c r="C509" s="28" t="s">
        <v>2240</v>
      </c>
      <c r="D509" s="1" t="s">
        <v>10</v>
      </c>
      <c r="E509" s="1" t="s">
        <v>2739</v>
      </c>
      <c r="F509" s="168">
        <v>60</v>
      </c>
      <c r="G509" s="168">
        <v>60</v>
      </c>
      <c r="H509" s="168">
        <v>3</v>
      </c>
      <c r="I509" s="168">
        <v>34</v>
      </c>
      <c r="J509" s="168"/>
      <c r="K509" s="172">
        <v>2.9</v>
      </c>
      <c r="L509" s="168"/>
      <c r="M509" s="1"/>
    </row>
    <row r="510" spans="1:13">
      <c r="A510" s="30">
        <v>508</v>
      </c>
      <c r="B510" s="1" t="s">
        <v>2218</v>
      </c>
      <c r="C510" s="28" t="s">
        <v>2240</v>
      </c>
      <c r="D510" s="1" t="s">
        <v>10</v>
      </c>
      <c r="E510" s="1" t="s">
        <v>2740</v>
      </c>
      <c r="F510" s="168">
        <v>70</v>
      </c>
      <c r="G510" s="168">
        <v>50</v>
      </c>
      <c r="H510" s="168">
        <v>3</v>
      </c>
      <c r="I510" s="168">
        <v>34</v>
      </c>
      <c r="J510" s="168"/>
      <c r="K510" s="172">
        <v>2.9</v>
      </c>
      <c r="L510" s="168"/>
      <c r="M510" s="1"/>
    </row>
    <row r="511" spans="1:13">
      <c r="A511" s="30">
        <v>509</v>
      </c>
      <c r="B511" s="1" t="s">
        <v>2219</v>
      </c>
      <c r="C511" s="28" t="s">
        <v>2240</v>
      </c>
      <c r="D511" s="1" t="s">
        <v>10</v>
      </c>
      <c r="E511" s="1" t="s">
        <v>2741</v>
      </c>
      <c r="F511" s="168">
        <v>80</v>
      </c>
      <c r="G511" s="168">
        <v>40</v>
      </c>
      <c r="H511" s="168">
        <v>3</v>
      </c>
      <c r="I511" s="168">
        <v>52</v>
      </c>
      <c r="J511" s="168"/>
      <c r="K511" s="172">
        <v>2.9</v>
      </c>
      <c r="L511" s="168"/>
      <c r="M511" s="1"/>
    </row>
    <row r="512" spans="1:13">
      <c r="A512" s="30">
        <v>510</v>
      </c>
      <c r="B512" s="1" t="s">
        <v>2220</v>
      </c>
      <c r="C512" s="28" t="s">
        <v>2240</v>
      </c>
      <c r="D512" s="1" t="s">
        <v>10</v>
      </c>
      <c r="E512" s="1" t="s">
        <v>2742</v>
      </c>
      <c r="F512" s="168">
        <v>90</v>
      </c>
      <c r="G512" s="168">
        <v>60</v>
      </c>
      <c r="H512" s="168">
        <v>3</v>
      </c>
      <c r="I512" s="168">
        <v>25</v>
      </c>
      <c r="J512" s="168"/>
      <c r="K512" s="172">
        <v>2.9</v>
      </c>
      <c r="L512" s="168"/>
      <c r="M512" s="1"/>
    </row>
    <row r="513" spans="1:13">
      <c r="A513" s="30">
        <v>511</v>
      </c>
      <c r="B513" s="1" t="s">
        <v>2221</v>
      </c>
      <c r="C513" s="28" t="s">
        <v>2240</v>
      </c>
      <c r="D513" s="1" t="s">
        <v>1699</v>
      </c>
      <c r="E513" s="1" t="s">
        <v>2743</v>
      </c>
      <c r="F513" s="168">
        <v>100</v>
      </c>
      <c r="G513" s="168">
        <v>25</v>
      </c>
      <c r="H513" s="168">
        <v>4</v>
      </c>
      <c r="I513" s="168">
        <v>25</v>
      </c>
      <c r="J513" s="168"/>
      <c r="K513" s="172">
        <v>2.9</v>
      </c>
      <c r="L513" s="168"/>
      <c r="M513" s="1"/>
    </row>
    <row r="514" spans="1:13">
      <c r="A514" s="30">
        <v>512</v>
      </c>
      <c r="B514" s="1" t="s">
        <v>2222</v>
      </c>
      <c r="C514" s="28" t="s">
        <v>2240</v>
      </c>
      <c r="D514" s="1" t="s">
        <v>1699</v>
      </c>
      <c r="E514" s="1" t="s">
        <v>2744</v>
      </c>
      <c r="F514" s="168">
        <v>100</v>
      </c>
      <c r="G514" s="168">
        <v>30</v>
      </c>
      <c r="H514" s="168">
        <v>4</v>
      </c>
      <c r="I514" s="168">
        <v>25</v>
      </c>
      <c r="J514" s="168"/>
      <c r="K514" s="172">
        <v>2.9</v>
      </c>
      <c r="L514" s="168"/>
      <c r="M514" s="1"/>
    </row>
    <row r="515" spans="1:13">
      <c r="A515" s="30">
        <v>513</v>
      </c>
      <c r="B515" s="1" t="s">
        <v>2223</v>
      </c>
      <c r="C515" s="28" t="s">
        <v>2240</v>
      </c>
      <c r="D515" s="1" t="s">
        <v>1699</v>
      </c>
      <c r="E515" s="1" t="s">
        <v>2745</v>
      </c>
      <c r="F515" s="168">
        <v>100</v>
      </c>
      <c r="G515" s="168">
        <v>35</v>
      </c>
      <c r="H515" s="168">
        <v>4</v>
      </c>
      <c r="I515" s="168">
        <v>25</v>
      </c>
      <c r="J515" s="168"/>
      <c r="K515" s="172">
        <v>2.9</v>
      </c>
      <c r="L515" s="168"/>
      <c r="M515" s="1"/>
    </row>
    <row r="516" spans="1:13">
      <c r="A516" s="30">
        <v>514</v>
      </c>
      <c r="B516" s="1" t="s">
        <v>2224</v>
      </c>
      <c r="C516" s="28" t="s">
        <v>2240</v>
      </c>
      <c r="D516" s="1" t="s">
        <v>1699</v>
      </c>
      <c r="E516" s="1" t="s">
        <v>2746</v>
      </c>
      <c r="F516" s="168">
        <v>100</v>
      </c>
      <c r="G516" s="168">
        <v>40</v>
      </c>
      <c r="H516" s="168">
        <v>4</v>
      </c>
      <c r="I516" s="168">
        <v>25</v>
      </c>
      <c r="J516" s="168"/>
      <c r="K516" s="172">
        <v>2.9</v>
      </c>
      <c r="L516" s="168"/>
      <c r="M516" s="1"/>
    </row>
    <row r="517" spans="1:13">
      <c r="A517" s="30">
        <v>515</v>
      </c>
      <c r="B517" s="1" t="s">
        <v>2225</v>
      </c>
      <c r="C517" s="28" t="s">
        <v>2240</v>
      </c>
      <c r="D517" s="1" t="s">
        <v>1699</v>
      </c>
      <c r="E517" s="1" t="s">
        <v>2747</v>
      </c>
      <c r="F517" s="168">
        <v>55</v>
      </c>
      <c r="G517" s="168">
        <v>55</v>
      </c>
      <c r="H517" s="168">
        <v>10</v>
      </c>
      <c r="I517" s="168">
        <v>6</v>
      </c>
      <c r="J517" s="168"/>
      <c r="K517" s="172">
        <v>2.9</v>
      </c>
      <c r="L517" s="168"/>
      <c r="M517" s="1"/>
    </row>
    <row r="518" spans="1:13">
      <c r="A518" s="30">
        <v>516</v>
      </c>
      <c r="B518" s="1" t="s">
        <v>2226</v>
      </c>
      <c r="C518" s="28" t="s">
        <v>2240</v>
      </c>
      <c r="D518" s="1" t="s">
        <v>1699</v>
      </c>
      <c r="E518" s="1" t="s">
        <v>2748</v>
      </c>
      <c r="F518" s="168">
        <v>55</v>
      </c>
      <c r="G518" s="168">
        <v>55</v>
      </c>
      <c r="H518" s="168">
        <v>8</v>
      </c>
      <c r="I518" s="168">
        <v>4</v>
      </c>
      <c r="J518" s="168"/>
      <c r="K518" s="172">
        <v>2.9</v>
      </c>
      <c r="L518" s="168"/>
      <c r="M518" s="1"/>
    </row>
    <row r="519" spans="1:13">
      <c r="A519" s="30">
        <v>517</v>
      </c>
      <c r="B519" s="1" t="s">
        <v>2227</v>
      </c>
      <c r="C519" s="28" t="s">
        <v>2240</v>
      </c>
      <c r="D519" s="1" t="s">
        <v>1699</v>
      </c>
      <c r="E519" s="1" t="s">
        <v>2749</v>
      </c>
      <c r="F519" s="168">
        <v>60</v>
      </c>
      <c r="G519" s="168">
        <v>30</v>
      </c>
      <c r="H519" s="168">
        <v>3</v>
      </c>
      <c r="I519" s="168">
        <v>34</v>
      </c>
      <c r="J519" s="168"/>
      <c r="K519" s="172">
        <v>2.9</v>
      </c>
      <c r="L519" s="168"/>
      <c r="M519" s="1"/>
    </row>
    <row r="520" spans="1:13">
      <c r="A520" s="30">
        <v>518</v>
      </c>
      <c r="B520" s="1" t="s">
        <v>2228</v>
      </c>
      <c r="C520" s="28" t="s">
        <v>2240</v>
      </c>
      <c r="D520" s="1" t="s">
        <v>1699</v>
      </c>
      <c r="E520" s="1" t="s">
        <v>2750</v>
      </c>
      <c r="F520" s="168">
        <v>60</v>
      </c>
      <c r="G520" s="168">
        <v>35</v>
      </c>
      <c r="H520" s="168">
        <v>3</v>
      </c>
      <c r="I520" s="168">
        <v>34</v>
      </c>
      <c r="J520" s="168"/>
      <c r="K520" s="172">
        <v>2.9</v>
      </c>
      <c r="L520" s="168"/>
      <c r="M520" s="1"/>
    </row>
    <row r="521" spans="1:13">
      <c r="A521" s="30">
        <v>519</v>
      </c>
      <c r="B521" s="1" t="s">
        <v>2229</v>
      </c>
      <c r="C521" s="28" t="s">
        <v>2240</v>
      </c>
      <c r="D521" s="1" t="s">
        <v>1700</v>
      </c>
      <c r="E521" s="1" t="s">
        <v>2751</v>
      </c>
      <c r="F521" s="168">
        <v>120</v>
      </c>
      <c r="G521" s="168">
        <v>35</v>
      </c>
      <c r="H521" s="168">
        <v>3</v>
      </c>
      <c r="I521" s="168">
        <v>25</v>
      </c>
      <c r="J521" s="168"/>
      <c r="K521" s="172">
        <v>2.9</v>
      </c>
      <c r="L521" s="168"/>
      <c r="M521" s="1"/>
    </row>
    <row r="522" spans="1:13">
      <c r="A522" s="30">
        <v>520</v>
      </c>
      <c r="B522" s="1" t="s">
        <v>2230</v>
      </c>
      <c r="C522" s="28" t="s">
        <v>2240</v>
      </c>
      <c r="D522" s="1" t="s">
        <v>1700</v>
      </c>
      <c r="E522" s="1" t="s">
        <v>2752</v>
      </c>
      <c r="F522" s="168">
        <v>120</v>
      </c>
      <c r="G522" s="168">
        <v>14.5</v>
      </c>
      <c r="H522" s="168">
        <v>2</v>
      </c>
      <c r="I522" s="168">
        <v>50</v>
      </c>
      <c r="J522" s="168"/>
      <c r="K522" s="172">
        <v>2.9</v>
      </c>
      <c r="L522" s="168"/>
      <c r="M522" s="1"/>
    </row>
    <row r="523" spans="1:13">
      <c r="A523" s="30">
        <v>521</v>
      </c>
      <c r="B523" s="1" t="s">
        <v>2231</v>
      </c>
      <c r="C523" s="28" t="s">
        <v>2240</v>
      </c>
      <c r="D523" s="1" t="s">
        <v>1700</v>
      </c>
      <c r="E523" s="1" t="s">
        <v>2753</v>
      </c>
      <c r="F523" s="168">
        <v>120</v>
      </c>
      <c r="G523" s="168">
        <v>14.5</v>
      </c>
      <c r="H523" s="168">
        <v>3</v>
      </c>
      <c r="I523" s="168">
        <v>50</v>
      </c>
      <c r="J523" s="168"/>
      <c r="K523" s="172">
        <v>2.9</v>
      </c>
      <c r="L523" s="168"/>
      <c r="M523" s="1"/>
    </row>
    <row r="524" spans="1:13">
      <c r="A524" s="30">
        <v>522</v>
      </c>
      <c r="B524" s="93" t="s">
        <v>2803</v>
      </c>
      <c r="C524" s="94" t="s">
        <v>2234</v>
      </c>
      <c r="D524" s="93" t="s">
        <v>29</v>
      </c>
      <c r="E524" s="93" t="s">
        <v>2806</v>
      </c>
      <c r="F524" s="169">
        <v>90</v>
      </c>
      <c r="G524" s="169">
        <v>10</v>
      </c>
      <c r="H524" s="169">
        <v>10</v>
      </c>
      <c r="I524" s="169">
        <v>40</v>
      </c>
      <c r="J524" s="170"/>
      <c r="K524" s="168">
        <v>2.7</v>
      </c>
      <c r="L524" s="170"/>
    </row>
    <row r="525" spans="1:13">
      <c r="A525" s="30">
        <v>523</v>
      </c>
      <c r="B525" s="93" t="s">
        <v>2804</v>
      </c>
      <c r="C525" s="94" t="s">
        <v>2234</v>
      </c>
      <c r="D525" s="93" t="s">
        <v>2805</v>
      </c>
      <c r="E525" s="93" t="s">
        <v>2807</v>
      </c>
      <c r="F525" s="169">
        <v>40</v>
      </c>
      <c r="G525" s="169">
        <v>30</v>
      </c>
      <c r="H525" s="169">
        <v>6</v>
      </c>
      <c r="I525" s="169">
        <v>64</v>
      </c>
      <c r="J525" s="170"/>
      <c r="K525" s="168">
        <v>2.7</v>
      </c>
      <c r="L525" s="170"/>
    </row>
    <row r="526" spans="1:13">
      <c r="A526" s="30">
        <v>524</v>
      </c>
      <c r="B526" s="93" t="s">
        <v>2824</v>
      </c>
      <c r="C526" s="94" t="s">
        <v>2234</v>
      </c>
      <c r="D526" s="93" t="s">
        <v>10</v>
      </c>
      <c r="E526" s="93" t="s">
        <v>2825</v>
      </c>
      <c r="F526" s="169">
        <v>30</v>
      </c>
      <c r="G526" s="169">
        <v>20</v>
      </c>
      <c r="H526" s="169">
        <v>6</v>
      </c>
      <c r="I526" s="169">
        <v>120</v>
      </c>
      <c r="J526" s="170"/>
      <c r="K526" s="168">
        <v>2.7</v>
      </c>
      <c r="L526" s="170"/>
    </row>
    <row r="527" spans="1:13">
      <c r="A527" s="30">
        <v>525</v>
      </c>
      <c r="B527" s="167" t="s">
        <v>2848</v>
      </c>
      <c r="C527" s="167" t="s">
        <v>2234</v>
      </c>
      <c r="D527" s="167" t="s">
        <v>30</v>
      </c>
      <c r="E527" s="167" t="s">
        <v>2849</v>
      </c>
      <c r="F527" s="169">
        <v>220</v>
      </c>
      <c r="G527" s="169">
        <v>68</v>
      </c>
      <c r="H527" s="169">
        <v>3</v>
      </c>
      <c r="I527" s="169">
        <v>11</v>
      </c>
      <c r="J527" s="170"/>
      <c r="K527" s="168">
        <v>2.7</v>
      </c>
      <c r="L527" s="170"/>
    </row>
    <row r="528" spans="1:13">
      <c r="A528" s="30">
        <v>526</v>
      </c>
      <c r="B528" s="167" t="s">
        <v>2850</v>
      </c>
      <c r="C528" s="167" t="s">
        <v>2233</v>
      </c>
      <c r="D528" s="167" t="s">
        <v>30</v>
      </c>
      <c r="E528" s="167" t="s">
        <v>2851</v>
      </c>
      <c r="F528" s="169">
        <v>220</v>
      </c>
      <c r="G528" s="169">
        <v>68</v>
      </c>
      <c r="H528" s="169">
        <v>2</v>
      </c>
      <c r="I528" s="169">
        <v>20</v>
      </c>
      <c r="J528" s="170"/>
      <c r="K528" s="168">
        <v>3</v>
      </c>
      <c r="L528" s="170"/>
    </row>
  </sheetData>
  <autoFilter ref="A2:M528"/>
  <conditionalFormatting sqref="B3:B1048576 B1">
    <cfRule type="duplicateValues" dxfId="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="115" zoomScaleNormal="115" workbookViewId="0">
      <selection activeCell="N15" sqref="N15"/>
    </sheetView>
  </sheetViews>
  <sheetFormatPr defaultColWidth="9.140625" defaultRowHeight="15"/>
  <cols>
    <col min="1" max="1" width="16.42578125" style="197" bestFit="1" customWidth="1"/>
    <col min="2" max="2" width="14.140625" style="197" customWidth="1"/>
    <col min="3" max="3" width="16.85546875" style="197" customWidth="1"/>
    <col min="4" max="4" width="2.7109375" style="215" customWidth="1"/>
    <col min="5" max="5" width="18.140625" style="197" customWidth="1"/>
    <col min="6" max="6" width="44.5703125" style="197" customWidth="1"/>
    <col min="7" max="7" width="2.7109375" style="215" customWidth="1"/>
    <col min="8" max="8" width="6.7109375" style="197" bestFit="1" customWidth="1"/>
    <col min="9" max="9" width="22.42578125" style="197" customWidth="1"/>
    <col min="10" max="10" width="22.28515625" style="197" customWidth="1"/>
    <col min="11" max="11" width="23.28515625" style="197" customWidth="1"/>
    <col min="12" max="12" width="2.7109375" style="215" customWidth="1"/>
    <col min="13" max="13" width="7" style="206" customWidth="1"/>
    <col min="14" max="14" width="20" style="197" customWidth="1"/>
    <col min="15" max="15" width="2.7109375" style="215" customWidth="1"/>
    <col min="16" max="16" width="7.42578125" style="206" customWidth="1"/>
    <col min="17" max="17" width="20.42578125" style="197" customWidth="1"/>
    <col min="18" max="18" width="2.7109375" style="215" customWidth="1"/>
    <col min="19" max="19" width="18.28515625" style="197" hidden="1" customWidth="1"/>
    <col min="20" max="20" width="25.140625" style="197" hidden="1" customWidth="1"/>
    <col min="21" max="21" width="2.7109375" style="200" hidden="1" customWidth="1"/>
    <col min="22" max="22" width="16.140625" style="197" hidden="1" customWidth="1"/>
    <col min="23" max="23" width="59" style="197" hidden="1" customWidth="1"/>
    <col min="24" max="16384" width="9.140625" style="197"/>
  </cols>
  <sheetData>
    <row r="1" spans="1:23">
      <c r="A1" s="214" t="s">
        <v>2879</v>
      </c>
      <c r="B1" s="214" t="s">
        <v>1653</v>
      </c>
      <c r="C1" s="214" t="s">
        <v>12</v>
      </c>
      <c r="E1" s="216" t="s">
        <v>2884</v>
      </c>
      <c r="F1" s="216" t="s">
        <v>12</v>
      </c>
      <c r="H1" s="220" t="s">
        <v>1646</v>
      </c>
      <c r="I1" s="220" t="s">
        <v>1619</v>
      </c>
      <c r="J1" s="217" t="s">
        <v>1653</v>
      </c>
      <c r="K1" s="217" t="s">
        <v>2907</v>
      </c>
      <c r="M1" s="218" t="s">
        <v>1646</v>
      </c>
      <c r="N1" s="219" t="s">
        <v>2892</v>
      </c>
      <c r="P1" s="221" t="s">
        <v>1646</v>
      </c>
      <c r="Q1" s="222" t="s">
        <v>2893</v>
      </c>
      <c r="S1" s="2" t="s">
        <v>477</v>
      </c>
      <c r="T1" s="2" t="s">
        <v>12</v>
      </c>
      <c r="V1" s="2" t="s">
        <v>478</v>
      </c>
      <c r="W1" s="2" t="s">
        <v>12</v>
      </c>
    </row>
    <row r="2" spans="1:23">
      <c r="A2" s="198" t="s">
        <v>2875</v>
      </c>
      <c r="B2" s="244" t="s">
        <v>631</v>
      </c>
      <c r="C2" s="244" t="s">
        <v>631</v>
      </c>
      <c r="E2" s="201" t="s">
        <v>13</v>
      </c>
      <c r="F2" s="198" t="s">
        <v>2886</v>
      </c>
      <c r="H2" s="202" t="s">
        <v>1672</v>
      </c>
      <c r="I2" s="203" t="s">
        <v>2915</v>
      </c>
      <c r="J2" s="238" t="s">
        <v>2938</v>
      </c>
      <c r="K2" s="204"/>
      <c r="M2" s="207">
        <v>0</v>
      </c>
      <c r="N2" s="203" t="s">
        <v>2897</v>
      </c>
      <c r="P2" s="208" t="s">
        <v>1689</v>
      </c>
      <c r="Q2" s="203" t="s">
        <v>1627</v>
      </c>
      <c r="S2" s="201" t="s">
        <v>104</v>
      </c>
      <c r="T2" s="198" t="s">
        <v>105</v>
      </c>
      <c r="V2" s="201" t="s">
        <v>104</v>
      </c>
      <c r="W2" s="198" t="s">
        <v>105</v>
      </c>
    </row>
    <row r="3" spans="1:23">
      <c r="A3" s="199" t="s">
        <v>2876</v>
      </c>
      <c r="B3" s="199" t="s">
        <v>2973</v>
      </c>
      <c r="C3" s="199" t="s">
        <v>2905</v>
      </c>
      <c r="E3" s="201" t="s">
        <v>14</v>
      </c>
      <c r="F3" s="198" t="s">
        <v>1711</v>
      </c>
      <c r="H3" s="202" t="s">
        <v>1675</v>
      </c>
      <c r="I3" s="203" t="s">
        <v>2910</v>
      </c>
      <c r="J3" s="238" t="s">
        <v>2939</v>
      </c>
      <c r="K3" s="204" t="s">
        <v>2922</v>
      </c>
      <c r="M3" s="208">
        <v>1</v>
      </c>
      <c r="N3" s="203" t="s">
        <v>106</v>
      </c>
      <c r="P3" s="207" t="s">
        <v>2883</v>
      </c>
      <c r="Q3" s="203" t="s">
        <v>1630</v>
      </c>
      <c r="S3" s="201" t="s">
        <v>13</v>
      </c>
      <c r="T3" s="198" t="s">
        <v>41</v>
      </c>
      <c r="V3" s="201" t="s">
        <v>13</v>
      </c>
      <c r="W3" s="198" t="s">
        <v>139</v>
      </c>
    </row>
    <row r="4" spans="1:23">
      <c r="A4" s="199" t="s">
        <v>2877</v>
      </c>
      <c r="B4" s="199" t="s">
        <v>2974</v>
      </c>
      <c r="C4" s="199" t="s">
        <v>2906</v>
      </c>
      <c r="E4" s="201" t="s">
        <v>15</v>
      </c>
      <c r="F4" s="198" t="s">
        <v>29</v>
      </c>
      <c r="H4" s="245" t="s">
        <v>2991</v>
      </c>
      <c r="I4" s="246" t="s">
        <v>700</v>
      </c>
      <c r="J4" s="246" t="s">
        <v>2995</v>
      </c>
      <c r="K4" s="246" t="s">
        <v>2994</v>
      </c>
      <c r="M4" s="208">
        <v>2</v>
      </c>
      <c r="N4" s="203" t="s">
        <v>139</v>
      </c>
      <c r="P4" s="208" t="s">
        <v>2885</v>
      </c>
      <c r="Q4" s="203" t="s">
        <v>2935</v>
      </c>
      <c r="S4" s="201" t="s">
        <v>14</v>
      </c>
      <c r="T4" s="198" t="s">
        <v>49</v>
      </c>
      <c r="V4" s="201" t="s">
        <v>14</v>
      </c>
      <c r="W4" s="198" t="s">
        <v>106</v>
      </c>
    </row>
    <row r="5" spans="1:23">
      <c r="A5" s="199" t="s">
        <v>2878</v>
      </c>
      <c r="B5" s="199" t="s">
        <v>2975</v>
      </c>
      <c r="C5" s="199" t="s">
        <v>2983</v>
      </c>
      <c r="E5" s="201" t="s">
        <v>16</v>
      </c>
      <c r="F5" s="198" t="s">
        <v>2887</v>
      </c>
      <c r="H5" s="245" t="s">
        <v>2992</v>
      </c>
      <c r="I5" s="246" t="s">
        <v>2993</v>
      </c>
      <c r="J5" s="246" t="s">
        <v>2996</v>
      </c>
      <c r="K5" s="246" t="s">
        <v>587</v>
      </c>
      <c r="M5" s="208">
        <v>3</v>
      </c>
      <c r="N5" s="203" t="s">
        <v>2894</v>
      </c>
      <c r="P5" s="207" t="s">
        <v>141</v>
      </c>
      <c r="Q5" s="203" t="s">
        <v>1629</v>
      </c>
      <c r="S5" s="201" t="s">
        <v>15</v>
      </c>
      <c r="T5" s="198" t="s">
        <v>103</v>
      </c>
      <c r="V5" s="201" t="s">
        <v>15</v>
      </c>
      <c r="W5" s="198" t="s">
        <v>107</v>
      </c>
    </row>
    <row r="6" spans="1:23">
      <c r="A6" s="199" t="s">
        <v>1665</v>
      </c>
      <c r="B6" s="199" t="s">
        <v>2976</v>
      </c>
      <c r="C6" s="199" t="s">
        <v>2984</v>
      </c>
      <c r="E6" s="201" t="s">
        <v>17</v>
      </c>
      <c r="F6" s="198" t="s">
        <v>1618</v>
      </c>
      <c r="H6" s="202" t="s">
        <v>1676</v>
      </c>
      <c r="I6" s="203" t="s">
        <v>2911</v>
      </c>
      <c r="J6" s="238" t="s">
        <v>2940</v>
      </c>
      <c r="K6" s="204" t="s">
        <v>2923</v>
      </c>
      <c r="M6" s="208">
        <v>4</v>
      </c>
      <c r="N6" s="203" t="s">
        <v>2895</v>
      </c>
      <c r="P6" s="208" t="s">
        <v>2902</v>
      </c>
      <c r="Q6" s="203" t="s">
        <v>2904</v>
      </c>
      <c r="S6" s="201" t="s">
        <v>16</v>
      </c>
      <c r="T6" s="198" t="s">
        <v>42</v>
      </c>
      <c r="V6" s="201" t="s">
        <v>16</v>
      </c>
      <c r="W6" s="198" t="s">
        <v>108</v>
      </c>
    </row>
    <row r="7" spans="1:23">
      <c r="A7" s="198" t="s">
        <v>1666</v>
      </c>
      <c r="B7" s="244" t="s">
        <v>2977</v>
      </c>
      <c r="C7" s="244" t="s">
        <v>2985</v>
      </c>
      <c r="E7" s="201" t="s">
        <v>18</v>
      </c>
      <c r="F7" s="198" t="s">
        <v>2882</v>
      </c>
      <c r="H7" s="202" t="s">
        <v>1686</v>
      </c>
      <c r="I7" s="203" t="s">
        <v>89</v>
      </c>
      <c r="J7" s="238" t="s">
        <v>2944</v>
      </c>
      <c r="K7" s="204" t="s">
        <v>2920</v>
      </c>
      <c r="M7" s="207">
        <v>5</v>
      </c>
      <c r="N7" s="203" t="s">
        <v>2901</v>
      </c>
      <c r="P7" s="207" t="s">
        <v>1662</v>
      </c>
      <c r="Q7" s="203" t="s">
        <v>1634</v>
      </c>
      <c r="S7" s="201" t="s">
        <v>17</v>
      </c>
      <c r="T7" s="198" t="s">
        <v>43</v>
      </c>
      <c r="V7" s="201" t="s">
        <v>17</v>
      </c>
      <c r="W7" s="198" t="s">
        <v>109</v>
      </c>
    </row>
    <row r="8" spans="1:23">
      <c r="A8" s="198" t="s">
        <v>1667</v>
      </c>
      <c r="B8" s="244" t="s">
        <v>2978</v>
      </c>
      <c r="C8" s="244" t="s">
        <v>2986</v>
      </c>
      <c r="E8" s="201" t="s">
        <v>19</v>
      </c>
      <c r="F8" s="198" t="s">
        <v>2888</v>
      </c>
      <c r="H8" s="202" t="s">
        <v>1673</v>
      </c>
      <c r="I8" s="203" t="s">
        <v>74</v>
      </c>
      <c r="J8" s="239" t="s">
        <v>2949</v>
      </c>
      <c r="K8" s="204" t="s">
        <v>2921</v>
      </c>
      <c r="M8" s="207">
        <v>6</v>
      </c>
      <c r="N8" s="203" t="s">
        <v>2934</v>
      </c>
      <c r="P8" s="207" t="s">
        <v>7</v>
      </c>
      <c r="Q8" s="203" t="s">
        <v>40</v>
      </c>
      <c r="S8" s="201" t="s">
        <v>18</v>
      </c>
      <c r="T8" s="198" t="s">
        <v>50</v>
      </c>
      <c r="V8" s="201" t="s">
        <v>18</v>
      </c>
      <c r="W8" s="198" t="s">
        <v>110</v>
      </c>
    </row>
    <row r="9" spans="1:23">
      <c r="A9" s="198" t="s">
        <v>1668</v>
      </c>
      <c r="B9" s="244" t="s">
        <v>2979</v>
      </c>
      <c r="C9" s="244" t="s">
        <v>2987</v>
      </c>
      <c r="E9" s="201" t="s">
        <v>20</v>
      </c>
      <c r="F9" s="198" t="s">
        <v>2880</v>
      </c>
      <c r="H9" s="202" t="s">
        <v>1674</v>
      </c>
      <c r="I9" s="203" t="s">
        <v>1643</v>
      </c>
      <c r="J9" s="238" t="s">
        <v>2941</v>
      </c>
      <c r="K9" s="204"/>
      <c r="M9" s="208">
        <v>7</v>
      </c>
      <c r="N9" s="203" t="s">
        <v>2896</v>
      </c>
      <c r="P9" s="207" t="s">
        <v>2903</v>
      </c>
      <c r="Q9" s="203" t="s">
        <v>39</v>
      </c>
      <c r="S9" s="201" t="s">
        <v>19</v>
      </c>
      <c r="T9" s="198" t="s">
        <v>44</v>
      </c>
      <c r="V9" s="201" t="s">
        <v>19</v>
      </c>
      <c r="W9" s="198" t="s">
        <v>111</v>
      </c>
    </row>
    <row r="10" spans="1:23">
      <c r="A10" s="198" t="s">
        <v>1669</v>
      </c>
      <c r="B10" s="244" t="s">
        <v>2980</v>
      </c>
      <c r="C10" s="244" t="s">
        <v>2988</v>
      </c>
      <c r="E10" s="201" t="s">
        <v>21</v>
      </c>
      <c r="F10" s="198" t="s">
        <v>2881</v>
      </c>
      <c r="H10" s="202" t="s">
        <v>1680</v>
      </c>
      <c r="I10" s="203" t="s">
        <v>90</v>
      </c>
      <c r="J10" s="239" t="s">
        <v>2950</v>
      </c>
      <c r="K10" s="204" t="s">
        <v>2908</v>
      </c>
      <c r="M10" s="207">
        <v>8</v>
      </c>
      <c r="N10" s="203" t="s">
        <v>2898</v>
      </c>
      <c r="P10" s="352"/>
      <c r="Q10" s="353"/>
      <c r="S10" s="201" t="s">
        <v>20</v>
      </c>
      <c r="T10" s="198" t="s">
        <v>45</v>
      </c>
      <c r="V10" s="201" t="s">
        <v>20</v>
      </c>
      <c r="W10" s="198" t="s">
        <v>112</v>
      </c>
    </row>
    <row r="11" spans="1:23">
      <c r="A11" s="198" t="s">
        <v>1670</v>
      </c>
      <c r="B11" s="244" t="s">
        <v>2981</v>
      </c>
      <c r="C11" s="244" t="s">
        <v>2989</v>
      </c>
      <c r="E11" s="205"/>
      <c r="H11" s="202" t="s">
        <v>1679</v>
      </c>
      <c r="I11" s="203" t="s">
        <v>91</v>
      </c>
      <c r="J11" s="239" t="s">
        <v>2947</v>
      </c>
      <c r="K11" s="204"/>
      <c r="M11" s="207">
        <v>9</v>
      </c>
      <c r="N11" s="203" t="s">
        <v>2899</v>
      </c>
      <c r="P11" s="352"/>
      <c r="Q11" s="353"/>
      <c r="S11" s="201" t="s">
        <v>22</v>
      </c>
      <c r="T11" s="198" t="s">
        <v>48</v>
      </c>
      <c r="V11" s="201" t="s">
        <v>22</v>
      </c>
      <c r="W11" s="198" t="s">
        <v>113</v>
      </c>
    </row>
    <row r="12" spans="1:23">
      <c r="A12" s="198" t="s">
        <v>1671</v>
      </c>
      <c r="B12" s="244" t="s">
        <v>2982</v>
      </c>
      <c r="C12" s="244" t="s">
        <v>2990</v>
      </c>
      <c r="E12" s="205"/>
      <c r="H12" s="202" t="s">
        <v>1681</v>
      </c>
      <c r="I12" s="203" t="s">
        <v>75</v>
      </c>
      <c r="J12" s="238" t="s">
        <v>2945</v>
      </c>
      <c r="K12" s="204"/>
      <c r="S12" s="201" t="s">
        <v>23</v>
      </c>
      <c r="T12" s="198" t="s">
        <v>46</v>
      </c>
      <c r="V12" s="201" t="s">
        <v>23</v>
      </c>
      <c r="W12" s="198" t="s">
        <v>114</v>
      </c>
    </row>
    <row r="13" spans="1:23">
      <c r="E13" s="205"/>
      <c r="H13" s="202" t="s">
        <v>1682</v>
      </c>
      <c r="I13" s="203" t="s">
        <v>2914</v>
      </c>
      <c r="J13" s="239" t="s">
        <v>2948</v>
      </c>
      <c r="K13" s="204" t="s">
        <v>2924</v>
      </c>
      <c r="S13" s="201" t="s">
        <v>24</v>
      </c>
      <c r="T13" s="198" t="s">
        <v>51</v>
      </c>
      <c r="V13" s="201" t="s">
        <v>24</v>
      </c>
      <c r="W13" s="198" t="s">
        <v>115</v>
      </c>
    </row>
    <row r="14" spans="1:23">
      <c r="E14" s="205"/>
      <c r="H14" s="202" t="s">
        <v>1683</v>
      </c>
      <c r="I14" s="203" t="s">
        <v>1645</v>
      </c>
      <c r="J14" s="239" t="s">
        <v>2948</v>
      </c>
      <c r="K14" s="204"/>
      <c r="S14" s="201" t="s">
        <v>25</v>
      </c>
      <c r="T14" s="198" t="s">
        <v>47</v>
      </c>
      <c r="V14" s="201" t="s">
        <v>25</v>
      </c>
      <c r="W14" s="198" t="s">
        <v>136</v>
      </c>
    </row>
    <row r="15" spans="1:23">
      <c r="H15" s="202" t="s">
        <v>1684</v>
      </c>
      <c r="I15" s="203" t="s">
        <v>100</v>
      </c>
      <c r="J15" s="238" t="s">
        <v>2946</v>
      </c>
      <c r="K15" s="204"/>
      <c r="S15" s="201" t="s">
        <v>26</v>
      </c>
      <c r="T15" s="198" t="s">
        <v>57</v>
      </c>
      <c r="V15" s="201" t="s">
        <v>26</v>
      </c>
      <c r="W15" s="198" t="s">
        <v>116</v>
      </c>
    </row>
    <row r="16" spans="1:23">
      <c r="H16" s="202" t="s">
        <v>1685</v>
      </c>
      <c r="I16" s="203" t="s">
        <v>102</v>
      </c>
      <c r="J16" s="239" t="s">
        <v>2951</v>
      </c>
      <c r="K16" s="204" t="s">
        <v>2909</v>
      </c>
      <c r="S16" s="231"/>
      <c r="T16" s="232"/>
      <c r="V16" s="231"/>
      <c r="W16" s="232"/>
    </row>
    <row r="17" spans="8:23">
      <c r="H17" s="202" t="s">
        <v>1677</v>
      </c>
      <c r="I17" s="203" t="s">
        <v>2912</v>
      </c>
      <c r="J17" s="239" t="s">
        <v>2952</v>
      </c>
      <c r="K17" s="204"/>
      <c r="S17" s="201" t="s">
        <v>27</v>
      </c>
      <c r="T17" s="198" t="s">
        <v>58</v>
      </c>
      <c r="V17" s="201" t="s">
        <v>27</v>
      </c>
      <c r="W17" s="198" t="s">
        <v>117</v>
      </c>
    </row>
    <row r="18" spans="8:23">
      <c r="H18" s="202" t="s">
        <v>1678</v>
      </c>
      <c r="I18" s="203" t="s">
        <v>2913</v>
      </c>
      <c r="J18" s="238" t="s">
        <v>2942</v>
      </c>
      <c r="K18" s="204"/>
      <c r="S18" s="201" t="s">
        <v>52</v>
      </c>
      <c r="T18" s="198" t="s">
        <v>60</v>
      </c>
      <c r="V18" s="201" t="s">
        <v>52</v>
      </c>
      <c r="W18" s="198" t="s">
        <v>118</v>
      </c>
    </row>
    <row r="19" spans="8:23" ht="18" customHeight="1">
      <c r="H19" s="202" t="s">
        <v>2926</v>
      </c>
      <c r="I19" s="203" t="s">
        <v>2925</v>
      </c>
      <c r="J19" s="238" t="s">
        <v>2943</v>
      </c>
      <c r="K19" s="204"/>
      <c r="S19" s="201" t="s">
        <v>53</v>
      </c>
      <c r="T19" s="198" t="s">
        <v>61</v>
      </c>
      <c r="V19" s="201" t="s">
        <v>53</v>
      </c>
      <c r="W19" s="198" t="s">
        <v>119</v>
      </c>
    </row>
    <row r="20" spans="8:23">
      <c r="S20" s="201" t="s">
        <v>54</v>
      </c>
      <c r="T20" s="198" t="s">
        <v>62</v>
      </c>
      <c r="V20" s="201" t="s">
        <v>54</v>
      </c>
      <c r="W20" s="198" t="s">
        <v>123</v>
      </c>
    </row>
    <row r="21" spans="8:23">
      <c r="H21" s="262" t="s">
        <v>2916</v>
      </c>
      <c r="I21" s="263"/>
      <c r="J21" s="263"/>
      <c r="K21" s="263"/>
      <c r="S21" s="201" t="s">
        <v>55</v>
      </c>
      <c r="T21" s="198" t="s">
        <v>72</v>
      </c>
      <c r="V21" s="201" t="s">
        <v>55</v>
      </c>
      <c r="W21" s="198" t="s">
        <v>120</v>
      </c>
    </row>
    <row r="22" spans="8:23">
      <c r="H22" s="263"/>
      <c r="I22" s="263"/>
      <c r="J22" s="263"/>
      <c r="K22" s="263"/>
      <c r="S22" s="201" t="s">
        <v>56</v>
      </c>
      <c r="T22" s="198" t="s">
        <v>73</v>
      </c>
      <c r="V22" s="201" t="s">
        <v>56</v>
      </c>
      <c r="W22" s="198" t="s">
        <v>121</v>
      </c>
    </row>
    <row r="23" spans="8:23">
      <c r="H23" s="263"/>
      <c r="I23" s="263"/>
      <c r="J23" s="263"/>
      <c r="K23" s="263"/>
      <c r="S23" s="201" t="s">
        <v>63</v>
      </c>
      <c r="T23" s="198" t="s">
        <v>74</v>
      </c>
      <c r="V23" s="201" t="s">
        <v>63</v>
      </c>
      <c r="W23" s="198" t="s">
        <v>122</v>
      </c>
    </row>
    <row r="24" spans="8:23">
      <c r="H24" s="263"/>
      <c r="I24" s="263"/>
      <c r="J24" s="263"/>
      <c r="K24" s="263"/>
      <c r="S24" s="201" t="s">
        <v>64</v>
      </c>
      <c r="T24" s="198" t="s">
        <v>75</v>
      </c>
      <c r="V24" s="201" t="s">
        <v>64</v>
      </c>
      <c r="W24" s="198" t="s">
        <v>124</v>
      </c>
    </row>
    <row r="25" spans="8:23">
      <c r="H25" s="263"/>
      <c r="I25" s="263"/>
      <c r="J25" s="263"/>
      <c r="K25" s="263"/>
      <c r="S25" s="201" t="s">
        <v>65</v>
      </c>
      <c r="T25" s="198" t="s">
        <v>76</v>
      </c>
      <c r="V25" s="201" t="s">
        <v>65</v>
      </c>
      <c r="W25" s="198" t="s">
        <v>125</v>
      </c>
    </row>
    <row r="26" spans="8:23">
      <c r="S26" s="201" t="s">
        <v>66</v>
      </c>
      <c r="T26" s="198" t="s">
        <v>77</v>
      </c>
      <c r="V26" s="201" t="s">
        <v>66</v>
      </c>
      <c r="W26" s="198" t="s">
        <v>126</v>
      </c>
    </row>
    <row r="27" spans="8:23">
      <c r="S27" s="201" t="s">
        <v>67</v>
      </c>
      <c r="T27" s="198" t="s">
        <v>78</v>
      </c>
      <c r="V27" s="201" t="s">
        <v>67</v>
      </c>
      <c r="W27" s="198" t="s">
        <v>137</v>
      </c>
    </row>
    <row r="28" spans="8:23">
      <c r="S28" s="201" t="s">
        <v>68</v>
      </c>
      <c r="T28" s="198" t="s">
        <v>79</v>
      </c>
      <c r="V28" s="201" t="s">
        <v>68</v>
      </c>
      <c r="W28" s="198" t="s">
        <v>127</v>
      </c>
    </row>
    <row r="29" spans="8:23">
      <c r="S29" s="201" t="s">
        <v>69</v>
      </c>
      <c r="T29" s="198" t="s">
        <v>80</v>
      </c>
      <c r="V29" s="201" t="s">
        <v>69</v>
      </c>
      <c r="W29" s="198" t="s">
        <v>128</v>
      </c>
    </row>
    <row r="30" spans="8:23">
      <c r="S30" s="201" t="s">
        <v>70</v>
      </c>
      <c r="T30" s="198" t="s">
        <v>81</v>
      </c>
      <c r="V30" s="201" t="s">
        <v>70</v>
      </c>
      <c r="W30" s="198" t="s">
        <v>129</v>
      </c>
    </row>
    <row r="31" spans="8:23">
      <c r="S31" s="201" t="s">
        <v>71</v>
      </c>
      <c r="T31" s="198" t="s">
        <v>82</v>
      </c>
      <c r="V31" s="201" t="s">
        <v>71</v>
      </c>
      <c r="W31" s="198" t="s">
        <v>130</v>
      </c>
    </row>
    <row r="32" spans="8:23">
      <c r="S32" s="201" t="s">
        <v>84</v>
      </c>
      <c r="T32" s="198" t="s">
        <v>83</v>
      </c>
      <c r="V32" s="201" t="s">
        <v>84</v>
      </c>
      <c r="W32" s="198" t="s">
        <v>131</v>
      </c>
    </row>
    <row r="33" spans="19:23">
      <c r="S33" s="201" t="s">
        <v>85</v>
      </c>
      <c r="T33" s="198" t="s">
        <v>89</v>
      </c>
      <c r="V33" s="201" t="s">
        <v>85</v>
      </c>
      <c r="W33" s="198" t="s">
        <v>132</v>
      </c>
    </row>
    <row r="34" spans="19:23">
      <c r="S34" s="201" t="s">
        <v>86</v>
      </c>
      <c r="T34" s="198" t="s">
        <v>90</v>
      </c>
      <c r="V34" s="201" t="s">
        <v>86</v>
      </c>
      <c r="W34" s="198" t="s">
        <v>133</v>
      </c>
    </row>
    <row r="35" spans="19:23">
      <c r="S35" s="201" t="s">
        <v>87</v>
      </c>
      <c r="T35" s="198" t="s">
        <v>91</v>
      </c>
      <c r="V35" s="201" t="s">
        <v>87</v>
      </c>
      <c r="W35" s="198" t="s">
        <v>134</v>
      </c>
    </row>
    <row r="36" spans="19:23">
      <c r="S36" s="201" t="s">
        <v>88</v>
      </c>
      <c r="T36" s="198" t="s">
        <v>92</v>
      </c>
      <c r="V36" s="201" t="s">
        <v>88</v>
      </c>
      <c r="W36" s="198" t="s">
        <v>135</v>
      </c>
    </row>
    <row r="37" spans="19:23">
      <c r="S37" s="201" t="s">
        <v>95</v>
      </c>
      <c r="T37" s="198" t="s">
        <v>93</v>
      </c>
      <c r="V37" s="201" t="s">
        <v>95</v>
      </c>
      <c r="W37" s="198" t="s">
        <v>138</v>
      </c>
    </row>
    <row r="38" spans="19:23">
      <c r="S38" s="201" t="s">
        <v>96</v>
      </c>
      <c r="T38" s="198" t="s">
        <v>94</v>
      </c>
    </row>
    <row r="39" spans="19:23">
      <c r="S39" s="201" t="s">
        <v>97</v>
      </c>
      <c r="T39" s="198" t="s">
        <v>100</v>
      </c>
    </row>
    <row r="40" spans="19:23">
      <c r="S40" s="201" t="s">
        <v>98</v>
      </c>
      <c r="T40" s="198" t="s">
        <v>101</v>
      </c>
    </row>
    <row r="41" spans="19:23">
      <c r="S41" s="201" t="s">
        <v>99</v>
      </c>
      <c r="T41" s="198" t="s">
        <v>102</v>
      </c>
    </row>
  </sheetData>
  <autoFilter ref="A1:G10"/>
  <mergeCells count="1">
    <mergeCell ref="H21:K25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50"/>
  </sheetPr>
  <dimension ref="A2:L520"/>
  <sheetViews>
    <sheetView zoomScaleNormal="100" workbookViewId="0">
      <pane ySplit="2" topLeftCell="A3" activePane="bottomLeft" state="frozen"/>
      <selection pane="bottomLeft" activeCell="F535" sqref="F535"/>
    </sheetView>
  </sheetViews>
  <sheetFormatPr defaultRowHeight="15"/>
  <cols>
    <col min="1" max="1" width="6.85546875" style="29" customWidth="1"/>
    <col min="2" max="2" width="19.7109375" bestFit="1" customWidth="1"/>
    <col min="3" max="3" width="12.5703125" bestFit="1" customWidth="1"/>
    <col min="4" max="4" width="3" hidden="1" customWidth="1"/>
    <col min="5" max="5" width="14.7109375" bestFit="1" customWidth="1"/>
    <col min="6" max="6" width="103.5703125" customWidth="1"/>
    <col min="7" max="7" width="9.7109375" customWidth="1"/>
    <col min="8" max="8" width="8.5703125" bestFit="1" customWidth="1"/>
    <col min="9" max="9" width="7.42578125" bestFit="1" customWidth="1"/>
    <col min="10" max="10" width="5.5703125" bestFit="1" customWidth="1"/>
    <col min="11" max="11" width="8" bestFit="1" customWidth="1"/>
    <col min="12" max="12" width="43.7109375" bestFit="1" customWidth="1"/>
  </cols>
  <sheetData>
    <row r="2" spans="1:12" s="26" customFormat="1" ht="12.75">
      <c r="A2" s="23" t="s">
        <v>2754</v>
      </c>
      <c r="B2" s="23" t="s">
        <v>2232</v>
      </c>
      <c r="C2" s="23" t="s">
        <v>1687</v>
      </c>
      <c r="D2" s="27"/>
      <c r="E2" s="23" t="s">
        <v>1688</v>
      </c>
      <c r="F2" s="27" t="s">
        <v>12</v>
      </c>
      <c r="G2" s="240"/>
      <c r="H2" s="24" t="s">
        <v>1689</v>
      </c>
      <c r="I2" s="24" t="s">
        <v>1690</v>
      </c>
      <c r="J2" s="24" t="s">
        <v>1691</v>
      </c>
      <c r="K2" s="25" t="s">
        <v>1692</v>
      </c>
      <c r="L2" s="23" t="s">
        <v>1693</v>
      </c>
    </row>
    <row r="3" spans="1:12" hidden="1">
      <c r="A3" s="30">
        <v>3</v>
      </c>
      <c r="B3" s="243" t="s">
        <v>2960</v>
      </c>
      <c r="C3" s="28" t="s">
        <v>2233</v>
      </c>
      <c r="D3" s="1" t="s">
        <v>16</v>
      </c>
      <c r="E3" s="1" t="s">
        <v>1694</v>
      </c>
      <c r="F3" s="242" t="s">
        <v>2961</v>
      </c>
      <c r="G3" s="241" t="str">
        <f t="shared" ref="G3:G61" si="0">H3&amp;I3&amp;J3</f>
        <v>1253515</v>
      </c>
      <c r="H3" s="168">
        <v>125</v>
      </c>
      <c r="I3" s="168">
        <v>35</v>
      </c>
      <c r="J3" s="168">
        <v>15</v>
      </c>
      <c r="K3" s="168">
        <v>8</v>
      </c>
      <c r="L3" s="1"/>
    </row>
    <row r="4" spans="1:12" hidden="1">
      <c r="A4" s="30">
        <v>4</v>
      </c>
      <c r="B4" s="243" t="s">
        <v>2964</v>
      </c>
      <c r="C4" s="28" t="s">
        <v>2233</v>
      </c>
      <c r="D4" s="1" t="s">
        <v>16</v>
      </c>
      <c r="E4" s="1" t="s">
        <v>1694</v>
      </c>
      <c r="F4" s="242" t="s">
        <v>2961</v>
      </c>
      <c r="G4" s="241" t="str">
        <f t="shared" si="0"/>
        <v>1503515</v>
      </c>
      <c r="H4" s="168">
        <v>150</v>
      </c>
      <c r="I4" s="168">
        <v>35</v>
      </c>
      <c r="J4" s="168">
        <v>15</v>
      </c>
      <c r="K4" s="168">
        <v>6</v>
      </c>
      <c r="L4" s="1"/>
    </row>
    <row r="5" spans="1:12" hidden="1">
      <c r="A5" s="30">
        <v>5</v>
      </c>
      <c r="B5" s="243" t="s">
        <v>2969</v>
      </c>
      <c r="C5" s="28" t="s">
        <v>2233</v>
      </c>
      <c r="D5" s="181" t="s">
        <v>16</v>
      </c>
      <c r="E5" s="1" t="s">
        <v>1694</v>
      </c>
      <c r="F5" s="242" t="s">
        <v>2961</v>
      </c>
      <c r="G5" s="241" t="str">
        <f t="shared" si="0"/>
        <v>753515</v>
      </c>
      <c r="H5" s="168">
        <v>75</v>
      </c>
      <c r="I5" s="168">
        <v>35</v>
      </c>
      <c r="J5" s="168">
        <v>15</v>
      </c>
      <c r="K5" s="168">
        <v>10</v>
      </c>
      <c r="L5" s="1"/>
    </row>
    <row r="6" spans="1:12" hidden="1">
      <c r="A6" s="30">
        <v>6</v>
      </c>
      <c r="B6" s="243" t="s">
        <v>2970</v>
      </c>
      <c r="C6" s="28" t="s">
        <v>2233</v>
      </c>
      <c r="D6" s="1" t="s">
        <v>16</v>
      </c>
      <c r="E6" s="1" t="s">
        <v>1694</v>
      </c>
      <c r="F6" s="242" t="s">
        <v>2961</v>
      </c>
      <c r="G6" s="241" t="str">
        <f t="shared" si="0"/>
        <v>100108</v>
      </c>
      <c r="H6" s="168">
        <v>100</v>
      </c>
      <c r="I6" s="168">
        <v>10</v>
      </c>
      <c r="J6" s="168">
        <v>8</v>
      </c>
      <c r="K6" s="168">
        <v>42</v>
      </c>
      <c r="L6" s="1"/>
    </row>
    <row r="7" spans="1:12">
      <c r="A7" s="30">
        <v>7</v>
      </c>
      <c r="B7" s="198" t="s">
        <v>2930</v>
      </c>
      <c r="C7" s="28" t="s">
        <v>2233</v>
      </c>
      <c r="D7" s="1" t="s">
        <v>16</v>
      </c>
      <c r="E7" s="1" t="s">
        <v>1694</v>
      </c>
      <c r="F7" s="1" t="s">
        <v>2971</v>
      </c>
      <c r="G7" s="241" t="str">
        <f t="shared" si="0"/>
        <v>1001212</v>
      </c>
      <c r="H7" s="168">
        <v>100</v>
      </c>
      <c r="I7" s="168">
        <v>12</v>
      </c>
      <c r="J7" s="168">
        <v>12</v>
      </c>
      <c r="K7" s="168">
        <v>32</v>
      </c>
      <c r="L7" s="1"/>
    </row>
    <row r="8" spans="1:12" hidden="1">
      <c r="A8" s="30">
        <v>8</v>
      </c>
      <c r="B8" s="198" t="s">
        <v>2931</v>
      </c>
      <c r="C8" s="28" t="s">
        <v>2233</v>
      </c>
      <c r="D8" s="1" t="s">
        <v>16</v>
      </c>
      <c r="E8" s="1" t="s">
        <v>1694</v>
      </c>
      <c r="F8" s="1" t="s">
        <v>2248</v>
      </c>
      <c r="G8" s="241" t="str">
        <f t="shared" si="0"/>
        <v>100158</v>
      </c>
      <c r="H8" s="168">
        <v>100</v>
      </c>
      <c r="I8" s="168">
        <v>15</v>
      </c>
      <c r="J8" s="168">
        <v>8</v>
      </c>
      <c r="K8" s="168">
        <v>12</v>
      </c>
      <c r="L8" s="1"/>
    </row>
    <row r="9" spans="1:12" hidden="1">
      <c r="A9" s="30">
        <v>9</v>
      </c>
      <c r="B9" s="198" t="s">
        <v>2932</v>
      </c>
      <c r="C9" s="28" t="s">
        <v>2233</v>
      </c>
      <c r="D9" s="1" t="s">
        <v>15</v>
      </c>
      <c r="E9" s="1" t="s">
        <v>29</v>
      </c>
      <c r="F9" s="1" t="s">
        <v>2249</v>
      </c>
      <c r="G9" s="241" t="str">
        <f t="shared" si="0"/>
        <v>100208</v>
      </c>
      <c r="H9" s="168">
        <v>100</v>
      </c>
      <c r="I9" s="168">
        <v>20</v>
      </c>
      <c r="J9" s="168">
        <v>8</v>
      </c>
      <c r="K9" s="168">
        <v>20</v>
      </c>
      <c r="L9" s="1"/>
    </row>
    <row r="10" spans="1:12" hidden="1">
      <c r="A10" s="30">
        <v>10</v>
      </c>
      <c r="B10" s="243" t="s">
        <v>2954</v>
      </c>
      <c r="C10" s="28" t="s">
        <v>2233</v>
      </c>
      <c r="D10" s="181" t="s">
        <v>16</v>
      </c>
      <c r="E10" s="1" t="s">
        <v>1694</v>
      </c>
      <c r="F10" s="242" t="s">
        <v>2955</v>
      </c>
      <c r="G10" s="241" t="str">
        <f t="shared" si="0"/>
        <v>1003515</v>
      </c>
      <c r="H10" s="168">
        <v>100</v>
      </c>
      <c r="I10" s="168">
        <v>35</v>
      </c>
      <c r="J10" s="168">
        <v>15</v>
      </c>
      <c r="K10" s="168">
        <v>10</v>
      </c>
      <c r="L10" s="1"/>
    </row>
    <row r="11" spans="1:12" hidden="1">
      <c r="A11" s="30">
        <v>13</v>
      </c>
      <c r="B11" s="198" t="s">
        <v>2933</v>
      </c>
      <c r="C11" s="28" t="s">
        <v>2233</v>
      </c>
      <c r="D11" s="1" t="s">
        <v>16</v>
      </c>
      <c r="E11" s="1" t="s">
        <v>1694</v>
      </c>
      <c r="F11" s="1" t="s">
        <v>2253</v>
      </c>
      <c r="G11" s="241" t="str">
        <f t="shared" si="0"/>
        <v>1203515</v>
      </c>
      <c r="H11" s="168">
        <v>120</v>
      </c>
      <c r="I11" s="168">
        <v>35</v>
      </c>
      <c r="J11" s="168">
        <v>15</v>
      </c>
      <c r="K11" s="168">
        <v>8</v>
      </c>
      <c r="L11" s="1"/>
    </row>
    <row r="12" spans="1:12" hidden="1">
      <c r="A12" s="30">
        <v>14</v>
      </c>
      <c r="B12" s="243" t="s">
        <v>2963</v>
      </c>
      <c r="C12" s="28" t="s">
        <v>2233</v>
      </c>
      <c r="D12" s="1" t="s">
        <v>16</v>
      </c>
      <c r="E12" s="1" t="s">
        <v>1694</v>
      </c>
      <c r="F12" s="242" t="s">
        <v>2962</v>
      </c>
      <c r="G12" s="241" t="str">
        <f t="shared" si="0"/>
        <v>1253515</v>
      </c>
      <c r="H12" s="168">
        <v>125</v>
      </c>
      <c r="I12" s="168">
        <v>35</v>
      </c>
      <c r="J12" s="168">
        <v>15</v>
      </c>
      <c r="K12" s="168">
        <v>8</v>
      </c>
      <c r="L12" s="1"/>
    </row>
    <row r="13" spans="1:12" hidden="1">
      <c r="A13" s="30">
        <v>16</v>
      </c>
      <c r="B13" s="1" t="s">
        <v>1727</v>
      </c>
      <c r="C13" s="28" t="s">
        <v>2233</v>
      </c>
      <c r="D13" s="1" t="s">
        <v>16</v>
      </c>
      <c r="E13" s="1" t="s">
        <v>1694</v>
      </c>
      <c r="F13" s="1" t="s">
        <v>2256</v>
      </c>
      <c r="G13" s="241" t="str">
        <f t="shared" si="0"/>
        <v>1501212</v>
      </c>
      <c r="H13" s="168">
        <v>150</v>
      </c>
      <c r="I13" s="168">
        <v>12</v>
      </c>
      <c r="J13" s="168">
        <v>12</v>
      </c>
      <c r="K13" s="168">
        <v>24</v>
      </c>
      <c r="L13" s="1"/>
    </row>
    <row r="14" spans="1:12" hidden="1">
      <c r="A14" s="30">
        <v>17</v>
      </c>
      <c r="B14" s="243" t="s">
        <v>2965</v>
      </c>
      <c r="C14" s="28" t="s">
        <v>2233</v>
      </c>
      <c r="D14" s="1" t="s">
        <v>16</v>
      </c>
      <c r="E14" s="1" t="s">
        <v>1694</v>
      </c>
      <c r="F14" s="242" t="s">
        <v>2962</v>
      </c>
      <c r="G14" s="241" t="str">
        <f t="shared" si="0"/>
        <v>1503515</v>
      </c>
      <c r="H14" s="168">
        <v>150</v>
      </c>
      <c r="I14" s="168">
        <v>35</v>
      </c>
      <c r="J14" s="168">
        <v>15</v>
      </c>
      <c r="K14" s="168">
        <v>6</v>
      </c>
      <c r="L14" s="1"/>
    </row>
    <row r="15" spans="1:12" hidden="1">
      <c r="A15" s="30">
        <v>18</v>
      </c>
      <c r="B15" s="243" t="s">
        <v>2966</v>
      </c>
      <c r="C15" s="28" t="s">
        <v>2240</v>
      </c>
      <c r="D15" s="1" t="s">
        <v>16</v>
      </c>
      <c r="E15" s="1" t="s">
        <v>1694</v>
      </c>
      <c r="F15" s="242" t="s">
        <v>2957</v>
      </c>
      <c r="G15" s="241" t="str">
        <f t="shared" si="0"/>
        <v>1503515</v>
      </c>
      <c r="H15" s="168">
        <v>150</v>
      </c>
      <c r="I15" s="168">
        <v>35</v>
      </c>
      <c r="J15" s="168">
        <v>15</v>
      </c>
      <c r="K15" s="168">
        <v>6</v>
      </c>
      <c r="L15" s="1"/>
    </row>
    <row r="16" spans="1:12" hidden="1">
      <c r="A16" s="30">
        <v>19</v>
      </c>
      <c r="B16" s="1" t="s">
        <v>1730</v>
      </c>
      <c r="C16" s="28" t="s">
        <v>2233</v>
      </c>
      <c r="D16" s="1" t="s">
        <v>16</v>
      </c>
      <c r="E16" s="1" t="s">
        <v>1694</v>
      </c>
      <c r="F16" s="1" t="s">
        <v>2259</v>
      </c>
      <c r="G16" s="241" t="str">
        <f t="shared" si="0"/>
        <v>203515</v>
      </c>
      <c r="H16" s="168">
        <v>20</v>
      </c>
      <c r="I16" s="168">
        <v>35</v>
      </c>
      <c r="J16" s="168">
        <v>15</v>
      </c>
      <c r="K16" s="168">
        <v>40</v>
      </c>
      <c r="L16" s="1"/>
    </row>
    <row r="17" spans="1:12" hidden="1">
      <c r="A17" s="30">
        <v>20</v>
      </c>
      <c r="B17" s="1" t="s">
        <v>1731</v>
      </c>
      <c r="C17" s="28" t="s">
        <v>2233</v>
      </c>
      <c r="D17" s="1" t="s">
        <v>16</v>
      </c>
      <c r="E17" s="1" t="s">
        <v>1694</v>
      </c>
      <c r="F17" s="1" t="s">
        <v>2260</v>
      </c>
      <c r="G17" s="241" t="str">
        <f t="shared" si="0"/>
        <v>301212</v>
      </c>
      <c r="H17" s="168">
        <v>30</v>
      </c>
      <c r="I17" s="168">
        <v>12</v>
      </c>
      <c r="J17" s="168">
        <v>12</v>
      </c>
      <c r="K17" s="168">
        <v>120</v>
      </c>
      <c r="L17" s="1"/>
    </row>
    <row r="18" spans="1:12" hidden="1">
      <c r="A18" s="30">
        <v>21</v>
      </c>
      <c r="B18" s="1" t="s">
        <v>1732</v>
      </c>
      <c r="C18" s="28" t="s">
        <v>2233</v>
      </c>
      <c r="D18" s="1" t="s">
        <v>16</v>
      </c>
      <c r="E18" s="1" t="s">
        <v>1694</v>
      </c>
      <c r="F18" s="1" t="s">
        <v>2261</v>
      </c>
      <c r="G18" s="241" t="str">
        <f t="shared" si="0"/>
        <v>401815</v>
      </c>
      <c r="H18" s="168">
        <v>40</v>
      </c>
      <c r="I18" s="168">
        <v>18</v>
      </c>
      <c r="J18" s="168">
        <v>15</v>
      </c>
      <c r="K18" s="168">
        <v>40</v>
      </c>
      <c r="L18" s="1"/>
    </row>
    <row r="19" spans="1:12" hidden="1">
      <c r="A19" s="30">
        <v>22</v>
      </c>
      <c r="B19" s="1" t="s">
        <v>1733</v>
      </c>
      <c r="C19" s="28" t="s">
        <v>2233</v>
      </c>
      <c r="D19" s="1" t="s">
        <v>16</v>
      </c>
      <c r="E19" s="1" t="s">
        <v>1694</v>
      </c>
      <c r="F19" s="1" t="s">
        <v>2262</v>
      </c>
      <c r="G19" s="241" t="str">
        <f t="shared" si="0"/>
        <v>501212</v>
      </c>
      <c r="H19" s="168">
        <v>50</v>
      </c>
      <c r="I19" s="168">
        <v>12</v>
      </c>
      <c r="J19" s="168">
        <v>12</v>
      </c>
      <c r="K19" s="168">
        <v>64</v>
      </c>
      <c r="L19" s="1"/>
    </row>
    <row r="20" spans="1:12" hidden="1">
      <c r="A20" s="30">
        <v>23</v>
      </c>
      <c r="B20" s="1" t="s">
        <v>1734</v>
      </c>
      <c r="C20" s="28" t="s">
        <v>2233</v>
      </c>
      <c r="D20" s="1" t="s">
        <v>16</v>
      </c>
      <c r="E20" s="1" t="s">
        <v>1694</v>
      </c>
      <c r="F20" s="1" t="s">
        <v>2263</v>
      </c>
      <c r="G20" s="241" t="str">
        <f t="shared" si="0"/>
        <v>503515</v>
      </c>
      <c r="H20" s="168">
        <v>50</v>
      </c>
      <c r="I20" s="168">
        <v>35</v>
      </c>
      <c r="J20" s="168">
        <v>15</v>
      </c>
      <c r="K20" s="168">
        <v>10</v>
      </c>
      <c r="L20" s="1"/>
    </row>
    <row r="21" spans="1:12" hidden="1">
      <c r="A21" s="30">
        <v>24</v>
      </c>
      <c r="B21" s="1" t="s">
        <v>1735</v>
      </c>
      <c r="C21" s="28" t="s">
        <v>2233</v>
      </c>
      <c r="D21" s="1" t="s">
        <v>16</v>
      </c>
      <c r="E21" s="1" t="s">
        <v>1694</v>
      </c>
      <c r="F21" s="1" t="s">
        <v>2264</v>
      </c>
      <c r="G21" s="241" t="str">
        <f t="shared" si="0"/>
        <v>751212</v>
      </c>
      <c r="H21" s="168">
        <v>75</v>
      </c>
      <c r="I21" s="168">
        <v>12</v>
      </c>
      <c r="J21" s="168">
        <v>12</v>
      </c>
      <c r="K21" s="168">
        <v>45</v>
      </c>
      <c r="L21" s="1"/>
    </row>
    <row r="22" spans="1:12" hidden="1">
      <c r="A22" s="30">
        <v>26</v>
      </c>
      <c r="B22" s="1" t="s">
        <v>1737</v>
      </c>
      <c r="C22" s="28" t="s">
        <v>2233</v>
      </c>
      <c r="D22" s="1" t="s">
        <v>16</v>
      </c>
      <c r="E22" s="1" t="s">
        <v>1694</v>
      </c>
      <c r="F22" s="1" t="s">
        <v>2266</v>
      </c>
      <c r="G22" s="241" t="str">
        <f t="shared" si="0"/>
        <v>803515</v>
      </c>
      <c r="H22" s="168">
        <v>80</v>
      </c>
      <c r="I22" s="168">
        <v>35</v>
      </c>
      <c r="J22" s="168">
        <v>15</v>
      </c>
      <c r="K22" s="168">
        <v>10</v>
      </c>
      <c r="L22" s="1"/>
    </row>
    <row r="23" spans="1:12" hidden="1">
      <c r="A23" s="30">
        <v>27</v>
      </c>
      <c r="B23" s="1" t="s">
        <v>1738</v>
      </c>
      <c r="C23" s="28" t="s">
        <v>2233</v>
      </c>
      <c r="D23" s="1" t="s">
        <v>15</v>
      </c>
      <c r="E23" s="1" t="s">
        <v>1695</v>
      </c>
      <c r="F23" s="1" t="s">
        <v>2267</v>
      </c>
      <c r="G23" s="241" t="str">
        <f t="shared" si="0"/>
        <v>301510</v>
      </c>
      <c r="H23" s="168">
        <v>30</v>
      </c>
      <c r="I23" s="168">
        <v>15</v>
      </c>
      <c r="J23" s="168">
        <v>10</v>
      </c>
      <c r="K23" s="168">
        <v>126</v>
      </c>
      <c r="L23" s="1"/>
    </row>
    <row r="24" spans="1:12" hidden="1">
      <c r="A24" s="30">
        <v>28</v>
      </c>
      <c r="B24" s="1" t="s">
        <v>1739</v>
      </c>
      <c r="C24" s="28" t="s">
        <v>2233</v>
      </c>
      <c r="D24" s="1" t="s">
        <v>13</v>
      </c>
      <c r="E24" s="1" t="s">
        <v>1696</v>
      </c>
      <c r="F24" s="1" t="s">
        <v>2268</v>
      </c>
      <c r="G24" s="241" t="str">
        <f t="shared" si="0"/>
        <v>20105</v>
      </c>
      <c r="H24" s="168">
        <v>20</v>
      </c>
      <c r="I24" s="168">
        <v>10</v>
      </c>
      <c r="J24" s="168">
        <v>5</v>
      </c>
      <c r="K24" s="168">
        <v>400</v>
      </c>
      <c r="L24" s="1"/>
    </row>
    <row r="25" spans="1:12" hidden="1">
      <c r="A25" s="30">
        <v>29</v>
      </c>
      <c r="B25" s="1" t="s">
        <v>1740</v>
      </c>
      <c r="C25" s="28" t="s">
        <v>2233</v>
      </c>
      <c r="D25" s="1" t="s">
        <v>13</v>
      </c>
      <c r="E25" s="1" t="s">
        <v>1696</v>
      </c>
      <c r="F25" s="1" t="s">
        <v>2269</v>
      </c>
      <c r="G25" s="241" t="str">
        <f t="shared" si="0"/>
        <v>10106</v>
      </c>
      <c r="H25" s="168">
        <v>10</v>
      </c>
      <c r="I25" s="168">
        <v>10</v>
      </c>
      <c r="J25" s="168">
        <v>6</v>
      </c>
      <c r="K25" s="168">
        <v>900</v>
      </c>
      <c r="L25" s="1"/>
    </row>
    <row r="26" spans="1:12" hidden="1">
      <c r="A26" s="30">
        <v>30</v>
      </c>
      <c r="B26" s="1" t="s">
        <v>1741</v>
      </c>
      <c r="C26" s="28" t="s">
        <v>2233</v>
      </c>
      <c r="D26" s="1" t="s">
        <v>13</v>
      </c>
      <c r="E26" s="1" t="s">
        <v>1696</v>
      </c>
      <c r="F26" s="1" t="s">
        <v>2270</v>
      </c>
      <c r="G26" s="241" t="str">
        <f t="shared" si="0"/>
        <v>10108</v>
      </c>
      <c r="H26" s="168">
        <v>10</v>
      </c>
      <c r="I26" s="168">
        <v>10</v>
      </c>
      <c r="J26" s="168">
        <v>8</v>
      </c>
      <c r="K26" s="168">
        <v>700</v>
      </c>
      <c r="L26" s="1"/>
    </row>
    <row r="27" spans="1:12" hidden="1">
      <c r="A27" s="30">
        <v>31</v>
      </c>
      <c r="B27" s="1" t="s">
        <v>1742</v>
      </c>
      <c r="C27" s="28" t="s">
        <v>2233</v>
      </c>
      <c r="D27" s="1" t="s">
        <v>13</v>
      </c>
      <c r="E27" s="1" t="s">
        <v>1696</v>
      </c>
      <c r="F27" s="1" t="s">
        <v>2271</v>
      </c>
      <c r="G27" s="241" t="str">
        <f t="shared" si="0"/>
        <v>151515</v>
      </c>
      <c r="H27" s="168">
        <v>15</v>
      </c>
      <c r="I27" s="168">
        <v>15</v>
      </c>
      <c r="J27" s="168">
        <v>15</v>
      </c>
      <c r="K27" s="168">
        <v>144</v>
      </c>
      <c r="L27" s="1"/>
    </row>
    <row r="28" spans="1:12" hidden="1">
      <c r="A28" s="30">
        <v>32</v>
      </c>
      <c r="B28" s="1" t="s">
        <v>1743</v>
      </c>
      <c r="C28" s="28" t="s">
        <v>2233</v>
      </c>
      <c r="D28" s="1" t="s">
        <v>13</v>
      </c>
      <c r="E28" s="1" t="s">
        <v>1696</v>
      </c>
      <c r="F28" s="1" t="s">
        <v>2272</v>
      </c>
      <c r="G28" s="241" t="str">
        <f t="shared" si="0"/>
        <v>161614</v>
      </c>
      <c r="H28" s="168">
        <v>16</v>
      </c>
      <c r="I28" s="168">
        <v>16</v>
      </c>
      <c r="J28" s="168">
        <v>14</v>
      </c>
      <c r="K28" s="168">
        <v>144</v>
      </c>
      <c r="L28" s="1"/>
    </row>
    <row r="29" spans="1:12" hidden="1">
      <c r="A29" s="30">
        <v>33</v>
      </c>
      <c r="B29" s="1" t="s">
        <v>1744</v>
      </c>
      <c r="C29" s="28" t="s">
        <v>2233</v>
      </c>
      <c r="D29" s="1" t="s">
        <v>13</v>
      </c>
      <c r="E29" s="1" t="s">
        <v>1697</v>
      </c>
      <c r="F29" s="1" t="s">
        <v>2273</v>
      </c>
      <c r="G29" s="241" t="str">
        <f t="shared" si="0"/>
        <v>555</v>
      </c>
      <c r="H29" s="168">
        <v>5</v>
      </c>
      <c r="I29" s="168">
        <v>5</v>
      </c>
      <c r="J29" s="168">
        <v>5</v>
      </c>
      <c r="K29" s="168">
        <v>4000</v>
      </c>
      <c r="L29" s="1"/>
    </row>
    <row r="30" spans="1:12" hidden="1">
      <c r="A30" s="30">
        <v>34</v>
      </c>
      <c r="B30" s="1" t="s">
        <v>1745</v>
      </c>
      <c r="C30" s="28" t="s">
        <v>2233</v>
      </c>
      <c r="D30" s="1" t="s">
        <v>13</v>
      </c>
      <c r="E30" s="1" t="s">
        <v>1696</v>
      </c>
      <c r="F30" s="1" t="s">
        <v>2274</v>
      </c>
      <c r="G30" s="241" t="str">
        <f t="shared" si="0"/>
        <v>998</v>
      </c>
      <c r="H30" s="168">
        <v>9</v>
      </c>
      <c r="I30" s="168">
        <v>9</v>
      </c>
      <c r="J30" s="168">
        <v>8</v>
      </c>
      <c r="K30" s="168">
        <v>726</v>
      </c>
      <c r="L30" s="1"/>
    </row>
    <row r="31" spans="1:12" hidden="1">
      <c r="A31" s="30">
        <v>35</v>
      </c>
      <c r="B31" s="1" t="s">
        <v>1746</v>
      </c>
      <c r="C31" s="28" t="s">
        <v>2233</v>
      </c>
      <c r="D31" s="1" t="s">
        <v>13</v>
      </c>
      <c r="E31" s="1" t="s">
        <v>1696</v>
      </c>
      <c r="F31" s="1" t="s">
        <v>2275</v>
      </c>
      <c r="G31" s="241" t="str">
        <f t="shared" si="0"/>
        <v>10108</v>
      </c>
      <c r="H31" s="168">
        <v>10</v>
      </c>
      <c r="I31" s="168">
        <v>10</v>
      </c>
      <c r="J31" s="168">
        <v>8</v>
      </c>
      <c r="K31" s="168">
        <v>700</v>
      </c>
      <c r="L31" s="1"/>
    </row>
    <row r="32" spans="1:12" hidden="1">
      <c r="A32" s="30">
        <v>36</v>
      </c>
      <c r="B32" s="1" t="s">
        <v>1747</v>
      </c>
      <c r="C32" s="28" t="s">
        <v>2233</v>
      </c>
      <c r="D32" s="1" t="s">
        <v>13</v>
      </c>
      <c r="E32" s="1" t="s">
        <v>1696</v>
      </c>
      <c r="F32" s="1" t="s">
        <v>2276</v>
      </c>
      <c r="G32" s="241" t="str">
        <f t="shared" si="0"/>
        <v>14148</v>
      </c>
      <c r="H32" s="168">
        <v>14</v>
      </c>
      <c r="I32" s="168">
        <v>14</v>
      </c>
      <c r="J32" s="168">
        <v>8</v>
      </c>
      <c r="K32" s="168">
        <v>7700</v>
      </c>
      <c r="L32" s="1"/>
    </row>
    <row r="33" spans="1:12" hidden="1">
      <c r="A33" s="30">
        <v>37</v>
      </c>
      <c r="B33" s="1" t="s">
        <v>1748</v>
      </c>
      <c r="C33" s="28" t="s">
        <v>2233</v>
      </c>
      <c r="D33" s="1" t="s">
        <v>13</v>
      </c>
      <c r="E33" s="1" t="s">
        <v>1696</v>
      </c>
      <c r="F33" s="1" t="s">
        <v>2277</v>
      </c>
      <c r="G33" s="241" t="str">
        <f t="shared" si="0"/>
        <v>14149</v>
      </c>
      <c r="H33" s="168">
        <v>14</v>
      </c>
      <c r="I33" s="168">
        <v>14</v>
      </c>
      <c r="J33" s="168">
        <v>9</v>
      </c>
      <c r="K33" s="168">
        <v>343</v>
      </c>
      <c r="L33" s="1"/>
    </row>
    <row r="34" spans="1:12" hidden="1">
      <c r="A34" s="30">
        <v>38</v>
      </c>
      <c r="B34" s="1" t="s">
        <v>1749</v>
      </c>
      <c r="C34" s="28" t="s">
        <v>2233</v>
      </c>
      <c r="D34" s="1" t="s">
        <v>13</v>
      </c>
      <c r="E34" s="1" t="s">
        <v>1696</v>
      </c>
      <c r="F34" s="1" t="s">
        <v>2278</v>
      </c>
      <c r="G34" s="241" t="str">
        <f t="shared" si="0"/>
        <v>20108.5</v>
      </c>
      <c r="H34" s="168">
        <v>20</v>
      </c>
      <c r="I34" s="168">
        <v>10</v>
      </c>
      <c r="J34" s="168">
        <v>8.5</v>
      </c>
      <c r="K34" s="168">
        <v>350</v>
      </c>
      <c r="L34" s="1"/>
    </row>
    <row r="35" spans="1:12" hidden="1">
      <c r="A35" s="30">
        <v>39</v>
      </c>
      <c r="B35" s="1" t="s">
        <v>1750</v>
      </c>
      <c r="C35" s="28" t="s">
        <v>2233</v>
      </c>
      <c r="D35" s="1" t="s">
        <v>13</v>
      </c>
      <c r="E35" s="1" t="s">
        <v>1696</v>
      </c>
      <c r="F35" s="1" t="s">
        <v>2279</v>
      </c>
      <c r="G35" s="241" t="str">
        <f t="shared" si="0"/>
        <v>20109</v>
      </c>
      <c r="H35" s="168">
        <v>20</v>
      </c>
      <c r="I35" s="168">
        <v>10</v>
      </c>
      <c r="J35" s="168">
        <v>9</v>
      </c>
      <c r="K35" s="168">
        <v>300</v>
      </c>
      <c r="L35" s="1"/>
    </row>
    <row r="36" spans="1:12" hidden="1">
      <c r="A36" s="30">
        <v>40</v>
      </c>
      <c r="B36" s="1" t="s">
        <v>1751</v>
      </c>
      <c r="C36" s="28" t="s">
        <v>2233</v>
      </c>
      <c r="D36" s="1" t="s">
        <v>13</v>
      </c>
      <c r="E36" s="1" t="s">
        <v>1696</v>
      </c>
      <c r="F36" s="1" t="s">
        <v>2280</v>
      </c>
      <c r="G36" s="241" t="str">
        <f t="shared" si="0"/>
        <v>401815</v>
      </c>
      <c r="H36" s="168">
        <v>40</v>
      </c>
      <c r="I36" s="168">
        <v>18</v>
      </c>
      <c r="J36" s="168">
        <v>15</v>
      </c>
      <c r="K36" s="168">
        <v>40</v>
      </c>
      <c r="L36" s="1"/>
    </row>
    <row r="37" spans="1:12" hidden="1">
      <c r="A37" s="30">
        <v>41</v>
      </c>
      <c r="B37" s="1" t="s">
        <v>1752</v>
      </c>
      <c r="C37" s="28" t="s">
        <v>2233</v>
      </c>
      <c r="D37" s="1" t="s">
        <v>13</v>
      </c>
      <c r="E37" s="1" t="s">
        <v>1696</v>
      </c>
      <c r="F37" s="1" t="s">
        <v>2281</v>
      </c>
      <c r="G37" s="241" t="str">
        <f t="shared" si="0"/>
        <v>997</v>
      </c>
      <c r="H37" s="168">
        <v>9</v>
      </c>
      <c r="I37" s="168">
        <v>9</v>
      </c>
      <c r="J37" s="168">
        <v>7</v>
      </c>
      <c r="K37" s="168">
        <v>968</v>
      </c>
      <c r="L37" s="1"/>
    </row>
    <row r="38" spans="1:12" hidden="1">
      <c r="A38" s="30">
        <v>42</v>
      </c>
      <c r="B38" s="1" t="s">
        <v>1753</v>
      </c>
      <c r="C38" s="28" t="s">
        <v>2233</v>
      </c>
      <c r="D38" s="1" t="s">
        <v>15</v>
      </c>
      <c r="E38" s="1" t="s">
        <v>29</v>
      </c>
      <c r="F38" s="1" t="s">
        <v>2282</v>
      </c>
      <c r="G38" s="241" t="str">
        <f t="shared" si="0"/>
        <v>1002010</v>
      </c>
      <c r="H38" s="168">
        <v>100</v>
      </c>
      <c r="I38" s="168">
        <v>20</v>
      </c>
      <c r="J38" s="168">
        <v>10</v>
      </c>
      <c r="K38" s="168">
        <v>20</v>
      </c>
      <c r="L38" s="1"/>
    </row>
    <row r="39" spans="1:12" hidden="1">
      <c r="A39" s="30">
        <v>43</v>
      </c>
      <c r="B39" s="1" t="s">
        <v>1754</v>
      </c>
      <c r="C39" s="28" t="s">
        <v>2233</v>
      </c>
      <c r="D39" s="1" t="s">
        <v>15</v>
      </c>
      <c r="E39" s="1" t="s">
        <v>29</v>
      </c>
      <c r="F39" s="1" t="s">
        <v>2283</v>
      </c>
      <c r="G39" s="241" t="str">
        <f t="shared" si="0"/>
        <v>100206</v>
      </c>
      <c r="H39" s="168">
        <v>100</v>
      </c>
      <c r="I39" s="168">
        <v>20</v>
      </c>
      <c r="J39" s="168">
        <v>6</v>
      </c>
      <c r="K39" s="168">
        <v>30</v>
      </c>
      <c r="L39" s="1"/>
    </row>
    <row r="40" spans="1:12" hidden="1">
      <c r="A40" s="30">
        <v>44</v>
      </c>
      <c r="B40" s="1" t="s">
        <v>1755</v>
      </c>
      <c r="C40" s="28" t="s">
        <v>2233</v>
      </c>
      <c r="D40" s="1" t="s">
        <v>15</v>
      </c>
      <c r="E40" s="1" t="s">
        <v>29</v>
      </c>
      <c r="F40" s="1" t="s">
        <v>2284</v>
      </c>
      <c r="G40" s="241" t="str">
        <f t="shared" si="0"/>
        <v>1002510</v>
      </c>
      <c r="H40" s="168">
        <v>100</v>
      </c>
      <c r="I40" s="168">
        <v>25</v>
      </c>
      <c r="J40" s="168">
        <v>10</v>
      </c>
      <c r="K40" s="168">
        <v>18</v>
      </c>
      <c r="L40" s="1"/>
    </row>
    <row r="41" spans="1:12" hidden="1">
      <c r="A41" s="30">
        <v>45</v>
      </c>
      <c r="B41" s="1" t="s">
        <v>1756</v>
      </c>
      <c r="C41" s="28" t="s">
        <v>2233</v>
      </c>
      <c r="D41" s="1" t="s">
        <v>15</v>
      </c>
      <c r="E41" s="1" t="s">
        <v>29</v>
      </c>
      <c r="F41" s="1" t="s">
        <v>2285</v>
      </c>
      <c r="G41" s="241" t="str">
        <f t="shared" si="0"/>
        <v>100256</v>
      </c>
      <c r="H41" s="168">
        <v>100</v>
      </c>
      <c r="I41" s="168">
        <v>25</v>
      </c>
      <c r="J41" s="168">
        <v>6</v>
      </c>
      <c r="K41" s="168">
        <v>30</v>
      </c>
      <c r="L41" s="1"/>
    </row>
    <row r="42" spans="1:12" hidden="1">
      <c r="A42" s="30">
        <v>46</v>
      </c>
      <c r="B42" s="1" t="s">
        <v>1757</v>
      </c>
      <c r="C42" s="28" t="s">
        <v>2233</v>
      </c>
      <c r="D42" s="1" t="s">
        <v>15</v>
      </c>
      <c r="E42" s="1" t="s">
        <v>29</v>
      </c>
      <c r="F42" s="1" t="s">
        <v>2286</v>
      </c>
      <c r="G42" s="241" t="str">
        <f t="shared" si="0"/>
        <v>100257</v>
      </c>
      <c r="H42" s="168">
        <v>100</v>
      </c>
      <c r="I42" s="168">
        <v>25</v>
      </c>
      <c r="J42" s="168">
        <v>7</v>
      </c>
      <c r="K42" s="168">
        <v>26</v>
      </c>
      <c r="L42" s="1"/>
    </row>
    <row r="43" spans="1:12" hidden="1">
      <c r="A43" s="30">
        <v>47</v>
      </c>
      <c r="B43" s="1" t="s">
        <v>1758</v>
      </c>
      <c r="C43" s="28" t="s">
        <v>2233</v>
      </c>
      <c r="D43" s="1" t="s">
        <v>15</v>
      </c>
      <c r="E43" s="1" t="s">
        <v>29</v>
      </c>
      <c r="F43" s="1" t="s">
        <v>2287</v>
      </c>
      <c r="G43" s="241" t="str">
        <f t="shared" si="0"/>
        <v>100258</v>
      </c>
      <c r="H43" s="168">
        <v>100</v>
      </c>
      <c r="I43" s="168">
        <v>25</v>
      </c>
      <c r="J43" s="168">
        <v>8</v>
      </c>
      <c r="K43" s="168">
        <v>20</v>
      </c>
      <c r="L43" s="1"/>
    </row>
    <row r="44" spans="1:12" hidden="1">
      <c r="A44" s="30">
        <v>48</v>
      </c>
      <c r="B44" s="1" t="s">
        <v>2755</v>
      </c>
      <c r="C44" s="28" t="s">
        <v>2233</v>
      </c>
      <c r="D44" s="1" t="s">
        <v>15</v>
      </c>
      <c r="E44" s="1" t="s">
        <v>29</v>
      </c>
      <c r="F44" s="1" t="s">
        <v>2288</v>
      </c>
      <c r="G44" s="241" t="str">
        <f t="shared" si="0"/>
        <v>100258</v>
      </c>
      <c r="H44" s="168">
        <v>100</v>
      </c>
      <c r="I44" s="168">
        <v>25</v>
      </c>
      <c r="J44" s="168">
        <v>8</v>
      </c>
      <c r="K44" s="168">
        <v>24</v>
      </c>
      <c r="L44" s="1"/>
    </row>
    <row r="45" spans="1:12" hidden="1">
      <c r="A45" s="30">
        <v>49</v>
      </c>
      <c r="B45" s="1" t="s">
        <v>1759</v>
      </c>
      <c r="C45" s="28" t="s">
        <v>2233</v>
      </c>
      <c r="D45" s="1" t="s">
        <v>15</v>
      </c>
      <c r="E45" s="1" t="s">
        <v>29</v>
      </c>
      <c r="F45" s="1" t="s">
        <v>2289</v>
      </c>
      <c r="G45" s="241" t="str">
        <f t="shared" si="0"/>
        <v>100307</v>
      </c>
      <c r="H45" s="168">
        <v>100</v>
      </c>
      <c r="I45" s="168">
        <v>30</v>
      </c>
      <c r="J45" s="168">
        <v>7</v>
      </c>
      <c r="K45" s="168">
        <v>20</v>
      </c>
      <c r="L45" s="1"/>
    </row>
    <row r="46" spans="1:12" hidden="1">
      <c r="A46" s="30">
        <v>50</v>
      </c>
      <c r="B46" s="1" t="s">
        <v>1760</v>
      </c>
      <c r="C46" s="28" t="s">
        <v>2233</v>
      </c>
      <c r="D46" s="1" t="s">
        <v>15</v>
      </c>
      <c r="E46" s="1" t="s">
        <v>29</v>
      </c>
      <c r="F46" s="1" t="s">
        <v>2290</v>
      </c>
      <c r="G46" s="241" t="str">
        <f t="shared" si="0"/>
        <v>100308</v>
      </c>
      <c r="H46" s="168">
        <v>100</v>
      </c>
      <c r="I46" s="168">
        <v>30</v>
      </c>
      <c r="J46" s="168">
        <v>8</v>
      </c>
      <c r="K46" s="168">
        <v>20</v>
      </c>
      <c r="L46" s="1"/>
    </row>
    <row r="47" spans="1:12" hidden="1">
      <c r="A47" s="30">
        <v>51</v>
      </c>
      <c r="B47" s="1" t="s">
        <v>1761</v>
      </c>
      <c r="C47" s="28" t="s">
        <v>2233</v>
      </c>
      <c r="D47" s="1" t="s">
        <v>15</v>
      </c>
      <c r="E47" s="1" t="s">
        <v>29</v>
      </c>
      <c r="F47" s="1" t="s">
        <v>2291</v>
      </c>
      <c r="G47" s="241" t="str">
        <f t="shared" si="0"/>
        <v>1004010</v>
      </c>
      <c r="H47" s="168">
        <v>100</v>
      </c>
      <c r="I47" s="168">
        <v>40</v>
      </c>
      <c r="J47" s="168">
        <v>10</v>
      </c>
      <c r="K47" s="168">
        <v>2</v>
      </c>
      <c r="L47" s="1"/>
    </row>
    <row r="48" spans="1:12" hidden="1">
      <c r="A48" s="30">
        <v>52</v>
      </c>
      <c r="B48" s="1" t="s">
        <v>1762</v>
      </c>
      <c r="C48" s="28" t="s">
        <v>2233</v>
      </c>
      <c r="D48" s="1" t="s">
        <v>15</v>
      </c>
      <c r="E48" s="1" t="s">
        <v>29</v>
      </c>
      <c r="F48" s="1" t="s">
        <v>2292</v>
      </c>
      <c r="G48" s="241" t="str">
        <f t="shared" si="0"/>
        <v>100508</v>
      </c>
      <c r="H48" s="168">
        <v>100</v>
      </c>
      <c r="I48" s="168">
        <v>50</v>
      </c>
      <c r="J48" s="168">
        <v>8</v>
      </c>
      <c r="K48" s="168">
        <v>9</v>
      </c>
      <c r="L48" s="1"/>
    </row>
    <row r="49" spans="1:12" hidden="1">
      <c r="A49" s="30">
        <v>53</v>
      </c>
      <c r="B49" s="1" t="s">
        <v>1763</v>
      </c>
      <c r="C49" s="28" t="s">
        <v>2233</v>
      </c>
      <c r="D49" s="1" t="s">
        <v>15</v>
      </c>
      <c r="E49" s="1" t="s">
        <v>29</v>
      </c>
      <c r="F49" s="1" t="s">
        <v>2293</v>
      </c>
      <c r="G49" s="241" t="str">
        <f t="shared" si="0"/>
        <v>125258</v>
      </c>
      <c r="H49" s="168">
        <v>125</v>
      </c>
      <c r="I49" s="168">
        <v>25</v>
      </c>
      <c r="J49" s="168">
        <v>8</v>
      </c>
      <c r="K49" s="168">
        <v>18</v>
      </c>
      <c r="L49" s="1"/>
    </row>
    <row r="50" spans="1:12" hidden="1">
      <c r="A50" s="30">
        <v>54</v>
      </c>
      <c r="B50" s="1" t="s">
        <v>1764</v>
      </c>
      <c r="C50" s="28" t="s">
        <v>2233</v>
      </c>
      <c r="D50" s="1" t="s">
        <v>15</v>
      </c>
      <c r="E50" s="1" t="s">
        <v>29</v>
      </c>
      <c r="F50" s="1" t="s">
        <v>2294</v>
      </c>
      <c r="G50" s="241" t="str">
        <f t="shared" si="0"/>
        <v>1502510</v>
      </c>
      <c r="H50" s="168">
        <v>150</v>
      </c>
      <c r="I50" s="168">
        <v>25</v>
      </c>
      <c r="J50" s="168">
        <v>10</v>
      </c>
      <c r="K50" s="168">
        <v>12</v>
      </c>
      <c r="L50" s="1"/>
    </row>
    <row r="51" spans="1:12" hidden="1">
      <c r="A51" s="30">
        <v>55</v>
      </c>
      <c r="B51" s="1" t="s">
        <v>1765</v>
      </c>
      <c r="C51" s="28" t="s">
        <v>2233</v>
      </c>
      <c r="D51" s="1" t="s">
        <v>15</v>
      </c>
      <c r="E51" s="1" t="s">
        <v>29</v>
      </c>
      <c r="F51" s="1" t="s">
        <v>2295</v>
      </c>
      <c r="G51" s="241" t="str">
        <f t="shared" si="0"/>
        <v>150258</v>
      </c>
      <c r="H51" s="168">
        <v>150</v>
      </c>
      <c r="I51" s="168">
        <v>25</v>
      </c>
      <c r="J51" s="168">
        <v>8</v>
      </c>
      <c r="K51" s="168">
        <v>14</v>
      </c>
      <c r="L51" s="1"/>
    </row>
    <row r="52" spans="1:12" hidden="1">
      <c r="A52" s="30">
        <v>56</v>
      </c>
      <c r="B52" s="1" t="s">
        <v>1766</v>
      </c>
      <c r="C52" s="28" t="s">
        <v>2233</v>
      </c>
      <c r="D52" s="1" t="s">
        <v>15</v>
      </c>
      <c r="E52" s="1" t="s">
        <v>29</v>
      </c>
      <c r="F52" s="1" t="s">
        <v>2296</v>
      </c>
      <c r="G52" s="241" t="str">
        <f t="shared" si="0"/>
        <v>150258</v>
      </c>
      <c r="H52" s="168">
        <v>150</v>
      </c>
      <c r="I52" s="168">
        <v>25</v>
      </c>
      <c r="J52" s="168">
        <v>8</v>
      </c>
      <c r="K52" s="168">
        <v>16</v>
      </c>
      <c r="L52" s="1"/>
    </row>
    <row r="53" spans="1:12" hidden="1">
      <c r="A53" s="30">
        <v>57</v>
      </c>
      <c r="B53" s="1" t="s">
        <v>1767</v>
      </c>
      <c r="C53" s="28" t="s">
        <v>2233</v>
      </c>
      <c r="D53" s="1" t="s">
        <v>15</v>
      </c>
      <c r="E53" s="1" t="s">
        <v>29</v>
      </c>
      <c r="F53" s="1" t="s">
        <v>2297</v>
      </c>
      <c r="G53" s="241" t="str">
        <f t="shared" si="0"/>
        <v>150508</v>
      </c>
      <c r="H53" s="168">
        <v>150</v>
      </c>
      <c r="I53" s="168">
        <v>50</v>
      </c>
      <c r="J53" s="168">
        <v>8</v>
      </c>
      <c r="K53" s="168">
        <v>8</v>
      </c>
      <c r="L53" s="1"/>
    </row>
    <row r="54" spans="1:12" hidden="1">
      <c r="A54" s="30">
        <v>58</v>
      </c>
      <c r="B54" s="1" t="s">
        <v>1768</v>
      </c>
      <c r="C54" s="28" t="s">
        <v>2233</v>
      </c>
      <c r="D54" s="1" t="s">
        <v>15</v>
      </c>
      <c r="E54" s="1" t="s">
        <v>29</v>
      </c>
      <c r="F54" s="1" t="s">
        <v>2298</v>
      </c>
      <c r="G54" s="241" t="str">
        <f t="shared" si="0"/>
        <v>200258</v>
      </c>
      <c r="H54" s="168">
        <v>200</v>
      </c>
      <c r="I54" s="168">
        <v>25</v>
      </c>
      <c r="J54" s="168">
        <v>8</v>
      </c>
      <c r="K54" s="168">
        <v>10</v>
      </c>
      <c r="L54" s="1"/>
    </row>
    <row r="55" spans="1:12" hidden="1">
      <c r="A55" s="30">
        <v>59</v>
      </c>
      <c r="B55" s="1" t="s">
        <v>1769</v>
      </c>
      <c r="C55" s="28" t="s">
        <v>2233</v>
      </c>
      <c r="D55" s="1" t="s">
        <v>15</v>
      </c>
      <c r="E55" s="1" t="s">
        <v>29</v>
      </c>
      <c r="F55" s="1" t="s">
        <v>2299</v>
      </c>
      <c r="G55" s="241" t="str">
        <f t="shared" si="0"/>
        <v>200258</v>
      </c>
      <c r="H55" s="168">
        <v>200</v>
      </c>
      <c r="I55" s="168">
        <v>25</v>
      </c>
      <c r="J55" s="168">
        <v>8</v>
      </c>
      <c r="K55" s="168">
        <v>12</v>
      </c>
      <c r="L55" s="1"/>
    </row>
    <row r="56" spans="1:12" hidden="1">
      <c r="A56" s="30">
        <v>60</v>
      </c>
      <c r="B56" s="1" t="s">
        <v>1770</v>
      </c>
      <c r="C56" s="28" t="s">
        <v>2233</v>
      </c>
      <c r="D56" s="1" t="s">
        <v>15</v>
      </c>
      <c r="E56" s="1" t="s">
        <v>29</v>
      </c>
      <c r="F56" s="1" t="s">
        <v>2300</v>
      </c>
      <c r="G56" s="241" t="str">
        <f t="shared" si="0"/>
        <v>220508</v>
      </c>
      <c r="H56" s="168">
        <v>220</v>
      </c>
      <c r="I56" s="168">
        <v>50</v>
      </c>
      <c r="J56" s="168">
        <v>8</v>
      </c>
      <c r="K56" s="168">
        <v>6</v>
      </c>
      <c r="L56" s="1"/>
    </row>
    <row r="57" spans="1:12" hidden="1">
      <c r="A57" s="30">
        <v>61</v>
      </c>
      <c r="B57" s="1" t="s">
        <v>1771</v>
      </c>
      <c r="C57" s="28" t="s">
        <v>2233</v>
      </c>
      <c r="D57" s="1" t="s">
        <v>15</v>
      </c>
      <c r="E57" s="1" t="s">
        <v>29</v>
      </c>
      <c r="F57" s="1" t="s">
        <v>2301</v>
      </c>
      <c r="G57" s="241" t="str">
        <f t="shared" si="0"/>
        <v>25258</v>
      </c>
      <c r="H57" s="168">
        <v>25</v>
      </c>
      <c r="I57" s="168">
        <v>25</v>
      </c>
      <c r="J57" s="168">
        <v>8</v>
      </c>
      <c r="K57" s="168">
        <v>96</v>
      </c>
      <c r="L57" s="1"/>
    </row>
    <row r="58" spans="1:12" hidden="1">
      <c r="A58" s="30">
        <v>62</v>
      </c>
      <c r="B58" s="1" t="s">
        <v>1772</v>
      </c>
      <c r="C58" s="28" t="s">
        <v>2233</v>
      </c>
      <c r="D58" s="1" t="s">
        <v>15</v>
      </c>
      <c r="E58" s="1" t="s">
        <v>29</v>
      </c>
      <c r="F58" s="1" t="s">
        <v>2302</v>
      </c>
      <c r="G58" s="241" t="str">
        <f t="shared" si="0"/>
        <v>352510</v>
      </c>
      <c r="H58" s="168">
        <v>35</v>
      </c>
      <c r="I58" s="168">
        <v>25</v>
      </c>
      <c r="J58" s="168">
        <v>10</v>
      </c>
      <c r="K58" s="168">
        <v>40</v>
      </c>
      <c r="L58" s="1"/>
    </row>
    <row r="59" spans="1:12" hidden="1">
      <c r="A59" s="30">
        <v>63</v>
      </c>
      <c r="B59" s="1" t="s">
        <v>1773</v>
      </c>
      <c r="C59" s="28" t="s">
        <v>2233</v>
      </c>
      <c r="D59" s="1" t="s">
        <v>15</v>
      </c>
      <c r="E59" s="1" t="s">
        <v>29</v>
      </c>
      <c r="F59" s="1" t="s">
        <v>2303</v>
      </c>
      <c r="G59" s="241" t="str">
        <f t="shared" si="0"/>
        <v>502010</v>
      </c>
      <c r="H59" s="168">
        <v>50</v>
      </c>
      <c r="I59" s="168">
        <v>20</v>
      </c>
      <c r="J59" s="168">
        <v>10</v>
      </c>
      <c r="K59" s="168">
        <v>40</v>
      </c>
      <c r="L59" s="1"/>
    </row>
    <row r="60" spans="1:12" hidden="1">
      <c r="A60" s="30">
        <v>64</v>
      </c>
      <c r="B60" s="1" t="s">
        <v>1774</v>
      </c>
      <c r="C60" s="28" t="s">
        <v>2233</v>
      </c>
      <c r="D60" s="1" t="s">
        <v>15</v>
      </c>
      <c r="E60" s="1" t="s">
        <v>29</v>
      </c>
      <c r="F60" s="1" t="s">
        <v>2304</v>
      </c>
      <c r="G60" s="241" t="str">
        <f t="shared" si="0"/>
        <v>502510</v>
      </c>
      <c r="H60" s="168">
        <v>50</v>
      </c>
      <c r="I60" s="168">
        <v>25</v>
      </c>
      <c r="J60" s="168">
        <v>10</v>
      </c>
      <c r="K60" s="168">
        <v>36</v>
      </c>
      <c r="L60" s="1"/>
    </row>
    <row r="61" spans="1:12" hidden="1">
      <c r="A61" s="30">
        <v>65</v>
      </c>
      <c r="B61" s="1" t="s">
        <v>1775</v>
      </c>
      <c r="C61" s="28" t="s">
        <v>2233</v>
      </c>
      <c r="D61" s="1" t="s">
        <v>15</v>
      </c>
      <c r="E61" s="1" t="s">
        <v>29</v>
      </c>
      <c r="F61" s="1" t="s">
        <v>2305</v>
      </c>
      <c r="G61" s="241" t="str">
        <f t="shared" si="0"/>
        <v>50257</v>
      </c>
      <c r="H61" s="168">
        <v>50</v>
      </c>
      <c r="I61" s="168">
        <v>25</v>
      </c>
      <c r="J61" s="168">
        <v>7</v>
      </c>
      <c r="K61" s="168">
        <v>52</v>
      </c>
      <c r="L61" s="1"/>
    </row>
    <row r="62" spans="1:12" hidden="1">
      <c r="A62" s="30">
        <v>66</v>
      </c>
      <c r="B62" s="1" t="s">
        <v>1776</v>
      </c>
      <c r="C62" s="28" t="s">
        <v>2233</v>
      </c>
      <c r="D62" s="1" t="s">
        <v>15</v>
      </c>
      <c r="E62" s="1" t="s">
        <v>29</v>
      </c>
      <c r="F62" s="1" t="s">
        <v>2306</v>
      </c>
      <c r="G62" s="241" t="str">
        <f t="shared" ref="G62:G125" si="1">H62&amp;I62&amp;J62</f>
        <v>50258</v>
      </c>
      <c r="H62" s="168">
        <v>50</v>
      </c>
      <c r="I62" s="168">
        <v>25</v>
      </c>
      <c r="J62" s="168">
        <v>8</v>
      </c>
      <c r="K62" s="168">
        <v>48</v>
      </c>
      <c r="L62" s="1"/>
    </row>
    <row r="63" spans="1:12" hidden="1">
      <c r="A63" s="30">
        <v>67</v>
      </c>
      <c r="B63" s="1" t="s">
        <v>1777</v>
      </c>
      <c r="C63" s="28" t="s">
        <v>2233</v>
      </c>
      <c r="D63" s="1" t="s">
        <v>15</v>
      </c>
      <c r="E63" s="1" t="s">
        <v>29</v>
      </c>
      <c r="F63" s="1" t="s">
        <v>2307</v>
      </c>
      <c r="G63" s="241" t="str">
        <f t="shared" si="1"/>
        <v>60206</v>
      </c>
      <c r="H63" s="168">
        <v>60</v>
      </c>
      <c r="I63" s="168">
        <v>20</v>
      </c>
      <c r="J63" s="168">
        <v>6</v>
      </c>
      <c r="K63" s="168">
        <v>48</v>
      </c>
      <c r="L63" s="1"/>
    </row>
    <row r="64" spans="1:12" hidden="1">
      <c r="A64" s="30">
        <v>68</v>
      </c>
      <c r="B64" s="1" t="s">
        <v>1778</v>
      </c>
      <c r="C64" s="28" t="s">
        <v>2233</v>
      </c>
      <c r="D64" s="1" t="s">
        <v>15</v>
      </c>
      <c r="E64" s="1" t="s">
        <v>29</v>
      </c>
      <c r="F64" s="1" t="s">
        <v>2308</v>
      </c>
      <c r="G64" s="241" t="str">
        <f t="shared" si="1"/>
        <v>75257</v>
      </c>
      <c r="H64" s="168">
        <v>75</v>
      </c>
      <c r="I64" s="168">
        <v>25</v>
      </c>
      <c r="J64" s="168">
        <v>7</v>
      </c>
      <c r="K64" s="168">
        <v>32</v>
      </c>
      <c r="L64" s="1"/>
    </row>
    <row r="65" spans="1:12" hidden="1">
      <c r="A65" s="30">
        <v>69</v>
      </c>
      <c r="B65" s="179" t="s">
        <v>1779</v>
      </c>
      <c r="C65" s="28" t="s">
        <v>2233</v>
      </c>
      <c r="D65" s="1" t="s">
        <v>15</v>
      </c>
      <c r="E65" s="1" t="s">
        <v>29</v>
      </c>
      <c r="F65" s="1" t="s">
        <v>2309</v>
      </c>
      <c r="G65" s="241" t="str">
        <f t="shared" si="1"/>
        <v>75258</v>
      </c>
      <c r="H65" s="168">
        <v>75</v>
      </c>
      <c r="I65" s="168">
        <v>25</v>
      </c>
      <c r="J65" s="168">
        <v>8</v>
      </c>
      <c r="K65" s="168">
        <v>28</v>
      </c>
      <c r="L65" s="1"/>
    </row>
    <row r="66" spans="1:12" hidden="1">
      <c r="A66" s="30">
        <v>70</v>
      </c>
      <c r="B66" s="1" t="s">
        <v>1780</v>
      </c>
      <c r="C66" s="28" t="s">
        <v>2233</v>
      </c>
      <c r="D66" s="1" t="s">
        <v>15</v>
      </c>
      <c r="E66" s="1" t="s">
        <v>29</v>
      </c>
      <c r="F66" s="1" t="s">
        <v>2310</v>
      </c>
      <c r="G66" s="241" t="str">
        <f t="shared" si="1"/>
        <v>1001616</v>
      </c>
      <c r="H66" s="168">
        <v>100</v>
      </c>
      <c r="I66" s="168">
        <v>16</v>
      </c>
      <c r="J66" s="168">
        <v>16</v>
      </c>
      <c r="K66" s="168">
        <v>17</v>
      </c>
      <c r="L66" s="1"/>
    </row>
    <row r="67" spans="1:12" hidden="1">
      <c r="A67" s="30">
        <v>71</v>
      </c>
      <c r="B67" s="1" t="s">
        <v>1781</v>
      </c>
      <c r="C67" s="28" t="s">
        <v>2233</v>
      </c>
      <c r="D67" s="1" t="s">
        <v>15</v>
      </c>
      <c r="E67" s="1" t="s">
        <v>29</v>
      </c>
      <c r="F67" s="1" t="s">
        <v>2311</v>
      </c>
      <c r="G67" s="241" t="str">
        <f t="shared" si="1"/>
        <v>100258</v>
      </c>
      <c r="H67" s="168">
        <v>100</v>
      </c>
      <c r="I67" s="168">
        <v>25</v>
      </c>
      <c r="J67" s="168">
        <v>8</v>
      </c>
      <c r="K67" s="168">
        <v>28</v>
      </c>
      <c r="L67" s="1"/>
    </row>
    <row r="68" spans="1:12" hidden="1">
      <c r="A68" s="30">
        <v>72</v>
      </c>
      <c r="B68" s="1" t="s">
        <v>1782</v>
      </c>
      <c r="C68" s="28" t="s">
        <v>2233</v>
      </c>
      <c r="D68" s="1" t="s">
        <v>15</v>
      </c>
      <c r="E68" s="1" t="s">
        <v>29</v>
      </c>
      <c r="F68" s="1" t="s">
        <v>2312</v>
      </c>
      <c r="G68" s="241" t="str">
        <f t="shared" si="1"/>
        <v>1201212</v>
      </c>
      <c r="H68" s="168">
        <v>120</v>
      </c>
      <c r="I68" s="168">
        <v>12</v>
      </c>
      <c r="J68" s="168">
        <v>12</v>
      </c>
      <c r="K68" s="168">
        <v>28</v>
      </c>
      <c r="L68" s="1"/>
    </row>
    <row r="69" spans="1:12" hidden="1">
      <c r="A69" s="30">
        <v>73</v>
      </c>
      <c r="B69" s="1" t="s">
        <v>1783</v>
      </c>
      <c r="C69" s="28" t="s">
        <v>2233</v>
      </c>
      <c r="D69" s="1" t="s">
        <v>15</v>
      </c>
      <c r="E69" s="1" t="s">
        <v>29</v>
      </c>
      <c r="F69" s="1" t="s">
        <v>2313</v>
      </c>
      <c r="G69" s="241" t="str">
        <f t="shared" si="1"/>
        <v>401212</v>
      </c>
      <c r="H69" s="168">
        <v>40</v>
      </c>
      <c r="I69" s="168">
        <v>12</v>
      </c>
      <c r="J69" s="168">
        <v>12</v>
      </c>
      <c r="K69" s="168">
        <v>90</v>
      </c>
      <c r="L69" s="1"/>
    </row>
    <row r="70" spans="1:12" hidden="1">
      <c r="A70" s="30">
        <v>74</v>
      </c>
      <c r="B70" s="1" t="s">
        <v>1784</v>
      </c>
      <c r="C70" s="28" t="s">
        <v>2233</v>
      </c>
      <c r="D70" s="1" t="s">
        <v>15</v>
      </c>
      <c r="E70" s="1" t="s">
        <v>29</v>
      </c>
      <c r="F70" s="1" t="s">
        <v>2314</v>
      </c>
      <c r="G70" s="241" t="str">
        <f t="shared" si="1"/>
        <v>601212</v>
      </c>
      <c r="H70" s="168">
        <v>60</v>
      </c>
      <c r="I70" s="168">
        <v>12</v>
      </c>
      <c r="J70" s="168">
        <v>12</v>
      </c>
      <c r="K70" s="168">
        <v>56</v>
      </c>
      <c r="L70" s="1"/>
    </row>
    <row r="71" spans="1:12" hidden="1">
      <c r="A71" s="30">
        <v>75</v>
      </c>
      <c r="B71" s="1" t="s">
        <v>1785</v>
      </c>
      <c r="C71" s="28" t="s">
        <v>2233</v>
      </c>
      <c r="D71" s="1" t="s">
        <v>15</v>
      </c>
      <c r="E71" s="1" t="s">
        <v>29</v>
      </c>
      <c r="F71" s="1" t="s">
        <v>2315</v>
      </c>
      <c r="G71" s="241" t="str">
        <f t="shared" si="1"/>
        <v>901212</v>
      </c>
      <c r="H71" s="168">
        <v>90</v>
      </c>
      <c r="I71" s="168">
        <v>12</v>
      </c>
      <c r="J71" s="168">
        <v>12</v>
      </c>
      <c r="K71" s="168">
        <v>32</v>
      </c>
      <c r="L71" s="1"/>
    </row>
    <row r="72" spans="1:12" hidden="1">
      <c r="A72" s="30">
        <v>76</v>
      </c>
      <c r="B72" s="1" t="s">
        <v>1786</v>
      </c>
      <c r="C72" s="28" t="s">
        <v>2233</v>
      </c>
      <c r="D72" s="1" t="s">
        <v>13</v>
      </c>
      <c r="E72" s="1" t="s">
        <v>10</v>
      </c>
      <c r="F72" s="1" t="s">
        <v>2316</v>
      </c>
      <c r="G72" s="241" t="str">
        <f t="shared" si="1"/>
        <v>80404</v>
      </c>
      <c r="H72" s="168">
        <v>80</v>
      </c>
      <c r="I72" s="168">
        <v>40</v>
      </c>
      <c r="J72" s="168">
        <v>4</v>
      </c>
      <c r="K72" s="168">
        <v>20</v>
      </c>
      <c r="L72" s="1"/>
    </row>
    <row r="73" spans="1:12" s="9" customFormat="1" hidden="1">
      <c r="A73" s="180">
        <v>77</v>
      </c>
      <c r="B73" s="181" t="s">
        <v>1787</v>
      </c>
      <c r="C73" s="182" t="s">
        <v>2233</v>
      </c>
      <c r="D73" s="181" t="s">
        <v>13</v>
      </c>
      <c r="E73" s="181" t="s">
        <v>10</v>
      </c>
      <c r="F73" s="181" t="s">
        <v>2853</v>
      </c>
      <c r="G73" s="241" t="str">
        <f t="shared" si="1"/>
        <v>18126</v>
      </c>
      <c r="H73" s="183">
        <v>18</v>
      </c>
      <c r="I73" s="183">
        <v>12</v>
      </c>
      <c r="J73" s="183">
        <v>6</v>
      </c>
      <c r="K73" s="183">
        <v>192</v>
      </c>
      <c r="L73" s="181" t="s">
        <v>1698</v>
      </c>
    </row>
    <row r="74" spans="1:12" hidden="1">
      <c r="A74" s="30">
        <v>78</v>
      </c>
      <c r="B74" s="1" t="s">
        <v>1788</v>
      </c>
      <c r="C74" s="28" t="s">
        <v>2233</v>
      </c>
      <c r="D74" s="1" t="s">
        <v>18</v>
      </c>
      <c r="E74" s="1" t="s">
        <v>10</v>
      </c>
      <c r="F74" s="1" t="s">
        <v>2317</v>
      </c>
      <c r="G74" s="241" t="str">
        <f t="shared" si="1"/>
        <v>15151.2</v>
      </c>
      <c r="H74" s="168">
        <v>15</v>
      </c>
      <c r="I74" s="168">
        <v>15</v>
      </c>
      <c r="J74" s="168">
        <v>1.2</v>
      </c>
      <c r="K74" s="168">
        <v>250</v>
      </c>
      <c r="L74" s="1"/>
    </row>
    <row r="75" spans="1:12" hidden="1">
      <c r="A75" s="30">
        <v>79</v>
      </c>
      <c r="B75" s="1" t="s">
        <v>1789</v>
      </c>
      <c r="C75" s="28" t="s">
        <v>2233</v>
      </c>
      <c r="D75" s="1" t="s">
        <v>13</v>
      </c>
      <c r="E75" s="1" t="s">
        <v>10</v>
      </c>
      <c r="F75" s="1" t="s">
        <v>2318</v>
      </c>
      <c r="G75" s="241" t="str">
        <f t="shared" si="1"/>
        <v>20103</v>
      </c>
      <c r="H75" s="168">
        <v>20</v>
      </c>
      <c r="I75" s="168">
        <v>10</v>
      </c>
      <c r="J75" s="168">
        <v>3</v>
      </c>
      <c r="K75" s="168">
        <v>660</v>
      </c>
      <c r="L75" s="1"/>
    </row>
    <row r="76" spans="1:12" hidden="1">
      <c r="A76" s="30">
        <v>80</v>
      </c>
      <c r="B76" s="1" t="s">
        <v>1790</v>
      </c>
      <c r="C76" s="28" t="s">
        <v>2233</v>
      </c>
      <c r="D76" s="1" t="s">
        <v>13</v>
      </c>
      <c r="E76" s="1" t="s">
        <v>10</v>
      </c>
      <c r="F76" s="1" t="s">
        <v>2319</v>
      </c>
      <c r="G76" s="241" t="str">
        <f t="shared" si="1"/>
        <v>35156</v>
      </c>
      <c r="H76" s="168">
        <v>35</v>
      </c>
      <c r="I76" s="168">
        <v>15</v>
      </c>
      <c r="J76" s="168">
        <v>6</v>
      </c>
      <c r="K76" s="168">
        <v>128</v>
      </c>
      <c r="L76" s="1"/>
    </row>
    <row r="77" spans="1:12" hidden="1">
      <c r="A77" s="30">
        <v>81</v>
      </c>
      <c r="B77" s="1" t="s">
        <v>1791</v>
      </c>
      <c r="C77" s="28" t="s">
        <v>2233</v>
      </c>
      <c r="D77" s="1" t="s">
        <v>13</v>
      </c>
      <c r="E77" s="1" t="s">
        <v>10</v>
      </c>
      <c r="F77" s="1" t="s">
        <v>2320</v>
      </c>
      <c r="G77" s="241" t="str">
        <f t="shared" si="1"/>
        <v>60303</v>
      </c>
      <c r="H77" s="168">
        <v>60</v>
      </c>
      <c r="I77" s="168">
        <v>30</v>
      </c>
      <c r="J77" s="168">
        <v>3</v>
      </c>
      <c r="K77" s="168">
        <v>68</v>
      </c>
      <c r="L77" s="1"/>
    </row>
    <row r="78" spans="1:12" hidden="1">
      <c r="A78" s="30">
        <v>82</v>
      </c>
      <c r="B78" s="1" t="s">
        <v>1792</v>
      </c>
      <c r="C78" s="28" t="s">
        <v>2233</v>
      </c>
      <c r="D78" s="1" t="s">
        <v>13</v>
      </c>
      <c r="E78" s="1" t="s">
        <v>10</v>
      </c>
      <c r="F78" s="1" t="s">
        <v>2321</v>
      </c>
      <c r="G78" s="241" t="str">
        <f t="shared" si="1"/>
        <v>60403</v>
      </c>
      <c r="H78" s="168">
        <v>60</v>
      </c>
      <c r="I78" s="168">
        <v>40</v>
      </c>
      <c r="J78" s="168">
        <v>3</v>
      </c>
      <c r="K78" s="168">
        <v>34</v>
      </c>
      <c r="L78" s="1"/>
    </row>
    <row r="79" spans="1:12" hidden="1">
      <c r="A79" s="30">
        <v>83</v>
      </c>
      <c r="B79" s="1" t="s">
        <v>1793</v>
      </c>
      <c r="C79" s="28" t="s">
        <v>2233</v>
      </c>
      <c r="D79" s="1" t="s">
        <v>13</v>
      </c>
      <c r="E79" s="1" t="s">
        <v>10</v>
      </c>
      <c r="F79" s="1" t="s">
        <v>2322</v>
      </c>
      <c r="G79" s="241" t="str">
        <f t="shared" si="1"/>
        <v>60603</v>
      </c>
      <c r="H79" s="168">
        <v>60</v>
      </c>
      <c r="I79" s="168">
        <v>60</v>
      </c>
      <c r="J79" s="168">
        <v>3</v>
      </c>
      <c r="K79" s="168">
        <v>34</v>
      </c>
      <c r="L79" s="1"/>
    </row>
    <row r="80" spans="1:12" hidden="1">
      <c r="A80" s="30">
        <v>84</v>
      </c>
      <c r="B80" s="1" t="s">
        <v>1794</v>
      </c>
      <c r="C80" s="28" t="s">
        <v>2233</v>
      </c>
      <c r="D80" s="1" t="s">
        <v>13</v>
      </c>
      <c r="E80" s="1" t="s">
        <v>10</v>
      </c>
      <c r="F80" s="1" t="s">
        <v>2323</v>
      </c>
      <c r="G80" s="241" t="str">
        <f t="shared" si="1"/>
        <v>80303</v>
      </c>
      <c r="H80" s="168">
        <v>80</v>
      </c>
      <c r="I80" s="168">
        <v>30</v>
      </c>
      <c r="J80" s="168">
        <v>3</v>
      </c>
      <c r="K80" s="168">
        <v>34</v>
      </c>
      <c r="L80" s="1"/>
    </row>
    <row r="81" spans="1:12" hidden="1">
      <c r="A81" s="30">
        <v>85</v>
      </c>
      <c r="B81" s="1" t="s">
        <v>1795</v>
      </c>
      <c r="C81" s="28" t="s">
        <v>2233</v>
      </c>
      <c r="D81" s="1" t="s">
        <v>13</v>
      </c>
      <c r="E81" s="1" t="s">
        <v>10</v>
      </c>
      <c r="F81" s="1" t="s">
        <v>2324</v>
      </c>
      <c r="G81" s="241" t="str">
        <f t="shared" si="1"/>
        <v>80403</v>
      </c>
      <c r="H81" s="168">
        <v>80</v>
      </c>
      <c r="I81" s="168">
        <v>40</v>
      </c>
      <c r="J81" s="168">
        <v>3</v>
      </c>
      <c r="K81" s="168">
        <v>34</v>
      </c>
      <c r="L81" s="1"/>
    </row>
    <row r="82" spans="1:12" hidden="1">
      <c r="A82" s="30">
        <v>86</v>
      </c>
      <c r="B82" s="1" t="s">
        <v>1796</v>
      </c>
      <c r="C82" s="28" t="s">
        <v>2233</v>
      </c>
      <c r="D82" s="1" t="s">
        <v>13</v>
      </c>
      <c r="E82" s="1" t="s">
        <v>10</v>
      </c>
      <c r="F82" s="1" t="s">
        <v>2325</v>
      </c>
      <c r="G82" s="241" t="str">
        <f t="shared" si="1"/>
        <v>90453</v>
      </c>
      <c r="H82" s="168">
        <v>90</v>
      </c>
      <c r="I82" s="168">
        <v>45</v>
      </c>
      <c r="J82" s="168">
        <v>3</v>
      </c>
      <c r="K82" s="168">
        <v>30</v>
      </c>
      <c r="L82" s="1"/>
    </row>
    <row r="83" spans="1:12" hidden="1">
      <c r="A83" s="30">
        <v>87</v>
      </c>
      <c r="B83" s="1" t="s">
        <v>1797</v>
      </c>
      <c r="C83" s="28" t="s">
        <v>2233</v>
      </c>
      <c r="D83" s="1" t="s">
        <v>13</v>
      </c>
      <c r="E83" s="1" t="s">
        <v>10</v>
      </c>
      <c r="F83" s="1" t="s">
        <v>2326</v>
      </c>
      <c r="G83" s="241" t="str">
        <f t="shared" si="1"/>
        <v>90603</v>
      </c>
      <c r="H83" s="168">
        <v>90</v>
      </c>
      <c r="I83" s="168">
        <v>60</v>
      </c>
      <c r="J83" s="168">
        <v>3</v>
      </c>
      <c r="K83" s="168">
        <v>20</v>
      </c>
      <c r="L83" s="1"/>
    </row>
    <row r="84" spans="1:12" hidden="1">
      <c r="A84" s="30">
        <v>88</v>
      </c>
      <c r="B84" s="1" t="s">
        <v>1798</v>
      </c>
      <c r="C84" s="28" t="s">
        <v>2233</v>
      </c>
      <c r="D84" s="1" t="s">
        <v>13</v>
      </c>
      <c r="E84" s="1" t="s">
        <v>10</v>
      </c>
      <c r="F84" s="1" t="s">
        <v>2327</v>
      </c>
      <c r="G84" s="241" t="str">
        <f t="shared" si="1"/>
        <v>90603</v>
      </c>
      <c r="H84" s="168">
        <v>90</v>
      </c>
      <c r="I84" s="168">
        <v>60</v>
      </c>
      <c r="J84" s="168">
        <v>3</v>
      </c>
      <c r="K84" s="168">
        <v>25</v>
      </c>
      <c r="L84" s="1"/>
    </row>
    <row r="85" spans="1:12" hidden="1">
      <c r="A85" s="30">
        <v>89</v>
      </c>
      <c r="B85" s="1" t="s">
        <v>1799</v>
      </c>
      <c r="C85" s="28" t="s">
        <v>2233</v>
      </c>
      <c r="D85" s="1" t="s">
        <v>20</v>
      </c>
      <c r="E85" s="1" t="s">
        <v>30</v>
      </c>
      <c r="F85" s="1" t="s">
        <v>2328</v>
      </c>
      <c r="G85" s="241" t="str">
        <f t="shared" si="1"/>
        <v>220603</v>
      </c>
      <c r="H85" s="168">
        <v>220</v>
      </c>
      <c r="I85" s="168">
        <v>60</v>
      </c>
      <c r="J85" s="168">
        <v>3</v>
      </c>
      <c r="K85" s="168">
        <v>20</v>
      </c>
      <c r="L85" s="1"/>
    </row>
    <row r="86" spans="1:12" hidden="1">
      <c r="A86" s="30">
        <v>90</v>
      </c>
      <c r="B86" s="1" t="s">
        <v>1800</v>
      </c>
      <c r="C86" s="28" t="s">
        <v>2233</v>
      </c>
      <c r="D86" s="1" t="s">
        <v>20</v>
      </c>
      <c r="E86" s="1" t="s">
        <v>30</v>
      </c>
      <c r="F86" s="1" t="s">
        <v>2329</v>
      </c>
      <c r="G86" s="241" t="str">
        <f t="shared" si="1"/>
        <v>220604</v>
      </c>
      <c r="H86" s="168">
        <v>220</v>
      </c>
      <c r="I86" s="168">
        <v>60</v>
      </c>
      <c r="J86" s="168">
        <v>4</v>
      </c>
      <c r="K86" s="168">
        <v>12</v>
      </c>
      <c r="L86" s="1"/>
    </row>
    <row r="87" spans="1:12" hidden="1">
      <c r="A87" s="30">
        <v>91</v>
      </c>
      <c r="B87" s="1" t="s">
        <v>1801</v>
      </c>
      <c r="C87" s="28" t="s">
        <v>2233</v>
      </c>
      <c r="D87" s="1" t="s">
        <v>20</v>
      </c>
      <c r="E87" s="1" t="s">
        <v>30</v>
      </c>
      <c r="F87" s="1" t="s">
        <v>2330</v>
      </c>
      <c r="G87" s="241" t="str">
        <f t="shared" si="1"/>
        <v>220803</v>
      </c>
      <c r="H87" s="168">
        <v>220</v>
      </c>
      <c r="I87" s="168">
        <v>80</v>
      </c>
      <c r="J87" s="168">
        <v>3</v>
      </c>
      <c r="K87" s="168">
        <v>10</v>
      </c>
      <c r="L87" s="1"/>
    </row>
    <row r="88" spans="1:12" hidden="1">
      <c r="A88" s="30">
        <v>92</v>
      </c>
      <c r="B88" s="1" t="s">
        <v>1802</v>
      </c>
      <c r="C88" s="28" t="s">
        <v>2233</v>
      </c>
      <c r="D88" s="1" t="s">
        <v>20</v>
      </c>
      <c r="E88" s="1" t="s">
        <v>30</v>
      </c>
      <c r="F88" s="1" t="s">
        <v>2331</v>
      </c>
      <c r="G88" s="241" t="str">
        <f t="shared" si="1"/>
        <v>220804</v>
      </c>
      <c r="H88" s="168">
        <v>220</v>
      </c>
      <c r="I88" s="168">
        <v>80</v>
      </c>
      <c r="J88" s="168">
        <v>4</v>
      </c>
      <c r="K88" s="168">
        <v>8</v>
      </c>
      <c r="L88" s="1"/>
    </row>
    <row r="89" spans="1:12" hidden="1">
      <c r="A89" s="30">
        <v>93</v>
      </c>
      <c r="B89" s="1" t="s">
        <v>1803</v>
      </c>
      <c r="C89" s="28" t="s">
        <v>2233</v>
      </c>
      <c r="D89" s="1" t="s">
        <v>20</v>
      </c>
      <c r="E89" s="1" t="s">
        <v>30</v>
      </c>
      <c r="F89" s="1" t="s">
        <v>2332</v>
      </c>
      <c r="G89" s="241" t="str">
        <f t="shared" si="1"/>
        <v>220604</v>
      </c>
      <c r="H89" s="168">
        <v>220</v>
      </c>
      <c r="I89" s="168">
        <v>60</v>
      </c>
      <c r="J89" s="168">
        <v>4</v>
      </c>
      <c r="K89" s="168">
        <v>12</v>
      </c>
      <c r="L89" s="1"/>
    </row>
    <row r="90" spans="1:12" hidden="1">
      <c r="A90" s="30">
        <v>94</v>
      </c>
      <c r="B90" s="1" t="s">
        <v>1804</v>
      </c>
      <c r="C90" s="28" t="s">
        <v>2233</v>
      </c>
      <c r="D90" s="1" t="s">
        <v>20</v>
      </c>
      <c r="E90" s="1" t="s">
        <v>30</v>
      </c>
      <c r="F90" s="1" t="s">
        <v>2333</v>
      </c>
      <c r="G90" s="241" t="str">
        <f t="shared" si="1"/>
        <v>100306</v>
      </c>
      <c r="H90" s="168">
        <v>100</v>
      </c>
      <c r="I90" s="168">
        <v>30</v>
      </c>
      <c r="J90" s="168">
        <v>6</v>
      </c>
      <c r="K90" s="168">
        <v>20</v>
      </c>
      <c r="L90" s="1"/>
    </row>
    <row r="91" spans="1:12" hidden="1">
      <c r="A91" s="30">
        <v>95</v>
      </c>
      <c r="B91" s="1" t="s">
        <v>1805</v>
      </c>
      <c r="C91" s="28" t="s">
        <v>2233</v>
      </c>
      <c r="D91" s="1" t="s">
        <v>14</v>
      </c>
      <c r="E91" s="1" t="s">
        <v>1699</v>
      </c>
      <c r="F91" s="1" t="s">
        <v>2334</v>
      </c>
      <c r="G91" s="241" t="str">
        <f t="shared" si="1"/>
        <v>75304</v>
      </c>
      <c r="H91" s="168">
        <v>75</v>
      </c>
      <c r="I91" s="168">
        <v>30</v>
      </c>
      <c r="J91" s="168">
        <v>4</v>
      </c>
      <c r="K91" s="168">
        <v>30</v>
      </c>
      <c r="L91" s="1"/>
    </row>
    <row r="92" spans="1:12" hidden="1">
      <c r="A92" s="30">
        <v>96</v>
      </c>
      <c r="B92" s="1" t="s">
        <v>1806</v>
      </c>
      <c r="C92" s="28" t="s">
        <v>2233</v>
      </c>
      <c r="D92" s="1" t="s">
        <v>14</v>
      </c>
      <c r="E92" s="1" t="s">
        <v>1699</v>
      </c>
      <c r="F92" s="1" t="s">
        <v>2335</v>
      </c>
      <c r="G92" s="241" t="str">
        <f t="shared" si="1"/>
        <v>75354</v>
      </c>
      <c r="H92" s="168">
        <v>75</v>
      </c>
      <c r="I92" s="168">
        <v>35</v>
      </c>
      <c r="J92" s="168">
        <v>4</v>
      </c>
      <c r="K92" s="168">
        <v>30</v>
      </c>
      <c r="L92" s="1"/>
    </row>
    <row r="93" spans="1:12" hidden="1">
      <c r="A93" s="30">
        <v>97</v>
      </c>
      <c r="B93" s="1" t="s">
        <v>1807</v>
      </c>
      <c r="C93" s="28" t="s">
        <v>2233</v>
      </c>
      <c r="D93" s="1" t="s">
        <v>14</v>
      </c>
      <c r="E93" s="1" t="s">
        <v>1699</v>
      </c>
      <c r="F93" s="1" t="s">
        <v>2336</v>
      </c>
      <c r="G93" s="241" t="str">
        <f t="shared" si="1"/>
        <v>75404</v>
      </c>
      <c r="H93" s="168">
        <v>75</v>
      </c>
      <c r="I93" s="168">
        <v>40</v>
      </c>
      <c r="J93" s="168">
        <v>4</v>
      </c>
      <c r="K93" s="168">
        <v>30</v>
      </c>
      <c r="L93" s="1"/>
    </row>
    <row r="94" spans="1:12" hidden="1">
      <c r="A94" s="30">
        <v>98</v>
      </c>
      <c r="B94" s="1" t="s">
        <v>1808</v>
      </c>
      <c r="C94" s="28" t="s">
        <v>2233</v>
      </c>
      <c r="D94" s="1" t="s">
        <v>14</v>
      </c>
      <c r="E94" s="1" t="s">
        <v>1699</v>
      </c>
      <c r="F94" s="1" t="s">
        <v>2337</v>
      </c>
      <c r="G94" s="241" t="str">
        <f t="shared" si="1"/>
        <v>100265</v>
      </c>
      <c r="H94" s="168">
        <v>100</v>
      </c>
      <c r="I94" s="168">
        <v>26</v>
      </c>
      <c r="J94" s="168">
        <v>5</v>
      </c>
      <c r="K94" s="168">
        <v>20</v>
      </c>
      <c r="L94" s="1"/>
    </row>
    <row r="95" spans="1:12" hidden="1">
      <c r="A95" s="30">
        <v>99</v>
      </c>
      <c r="B95" s="1" t="s">
        <v>1809</v>
      </c>
      <c r="C95" s="28" t="s">
        <v>2233</v>
      </c>
      <c r="D95" s="1" t="s">
        <v>14</v>
      </c>
      <c r="E95" s="1" t="s">
        <v>1699</v>
      </c>
      <c r="F95" s="1" t="s">
        <v>2338</v>
      </c>
      <c r="G95" s="241" t="str">
        <f t="shared" si="1"/>
        <v>100304</v>
      </c>
      <c r="H95" s="168">
        <v>100</v>
      </c>
      <c r="I95" s="168">
        <v>30</v>
      </c>
      <c r="J95" s="168">
        <v>4</v>
      </c>
      <c r="K95" s="168">
        <v>25</v>
      </c>
      <c r="L95" s="1"/>
    </row>
    <row r="96" spans="1:12" hidden="1">
      <c r="A96" s="30">
        <v>100</v>
      </c>
      <c r="B96" s="1" t="s">
        <v>1810</v>
      </c>
      <c r="C96" s="28" t="s">
        <v>2233</v>
      </c>
      <c r="D96" s="1" t="s">
        <v>14</v>
      </c>
      <c r="E96" s="1" t="s">
        <v>1699</v>
      </c>
      <c r="F96" s="1" t="s">
        <v>2339</v>
      </c>
      <c r="G96" s="241" t="str">
        <f t="shared" si="1"/>
        <v>100254</v>
      </c>
      <c r="H96" s="168">
        <v>100</v>
      </c>
      <c r="I96" s="168">
        <v>25</v>
      </c>
      <c r="J96" s="168">
        <v>4</v>
      </c>
      <c r="K96" s="168">
        <v>25</v>
      </c>
      <c r="L96" s="1"/>
    </row>
    <row r="97" spans="1:12" hidden="1">
      <c r="A97" s="30">
        <v>101</v>
      </c>
      <c r="B97" s="1" t="s">
        <v>1811</v>
      </c>
      <c r="C97" s="28" t="s">
        <v>2233</v>
      </c>
      <c r="D97" s="1" t="s">
        <v>14</v>
      </c>
      <c r="E97" s="1" t="s">
        <v>1699</v>
      </c>
      <c r="F97" s="1" t="s">
        <v>2340</v>
      </c>
      <c r="G97" s="241" t="str">
        <f t="shared" si="1"/>
        <v>100303</v>
      </c>
      <c r="H97" s="168">
        <v>100</v>
      </c>
      <c r="I97" s="168">
        <v>30</v>
      </c>
      <c r="J97" s="168">
        <v>3</v>
      </c>
      <c r="K97" s="168">
        <v>35</v>
      </c>
      <c r="L97" s="1"/>
    </row>
    <row r="98" spans="1:12" hidden="1">
      <c r="A98" s="30">
        <v>102</v>
      </c>
      <c r="B98" s="1" t="s">
        <v>1812</v>
      </c>
      <c r="C98" s="28" t="s">
        <v>2233</v>
      </c>
      <c r="D98" s="1" t="s">
        <v>14</v>
      </c>
      <c r="E98" s="1" t="s">
        <v>1699</v>
      </c>
      <c r="F98" s="1" t="s">
        <v>2341</v>
      </c>
      <c r="G98" s="241" t="str">
        <f t="shared" si="1"/>
        <v>100304</v>
      </c>
      <c r="H98" s="168">
        <v>100</v>
      </c>
      <c r="I98" s="168">
        <v>30</v>
      </c>
      <c r="J98" s="168">
        <v>4</v>
      </c>
      <c r="K98" s="168">
        <v>25</v>
      </c>
      <c r="L98" s="1"/>
    </row>
    <row r="99" spans="1:12" hidden="1">
      <c r="A99" s="30">
        <v>103</v>
      </c>
      <c r="B99" s="179" t="s">
        <v>1813</v>
      </c>
      <c r="C99" s="28" t="s">
        <v>2233</v>
      </c>
      <c r="D99" s="1" t="s">
        <v>14</v>
      </c>
      <c r="E99" s="1" t="s">
        <v>1699</v>
      </c>
      <c r="F99" s="1" t="s">
        <v>2342</v>
      </c>
      <c r="G99" s="241" t="str">
        <f t="shared" si="1"/>
        <v>100353</v>
      </c>
      <c r="H99" s="168">
        <v>100</v>
      </c>
      <c r="I99" s="168">
        <v>35</v>
      </c>
      <c r="J99" s="168">
        <v>3</v>
      </c>
      <c r="K99" s="168">
        <v>30</v>
      </c>
      <c r="L99" s="1"/>
    </row>
    <row r="100" spans="1:12" hidden="1">
      <c r="A100" s="30">
        <v>104</v>
      </c>
      <c r="B100" s="1" t="s">
        <v>1814</v>
      </c>
      <c r="C100" s="28" t="s">
        <v>2233</v>
      </c>
      <c r="D100" s="1" t="s">
        <v>14</v>
      </c>
      <c r="E100" s="1" t="s">
        <v>1699</v>
      </c>
      <c r="F100" s="1" t="s">
        <v>2343</v>
      </c>
      <c r="G100" s="241" t="str">
        <f t="shared" si="1"/>
        <v>100354</v>
      </c>
      <c r="H100" s="168">
        <v>100</v>
      </c>
      <c r="I100" s="168">
        <v>35</v>
      </c>
      <c r="J100" s="168">
        <v>4</v>
      </c>
      <c r="K100" s="168">
        <v>25</v>
      </c>
      <c r="L100" s="1"/>
    </row>
    <row r="101" spans="1:12" hidden="1">
      <c r="A101" s="30">
        <v>105</v>
      </c>
      <c r="B101" s="1" t="s">
        <v>1815</v>
      </c>
      <c r="C101" s="28" t="s">
        <v>2233</v>
      </c>
      <c r="D101" s="1" t="s">
        <v>14</v>
      </c>
      <c r="E101" s="1" t="s">
        <v>1699</v>
      </c>
      <c r="F101" s="1" t="s">
        <v>2344</v>
      </c>
      <c r="G101" s="241" t="str">
        <f t="shared" si="1"/>
        <v>100404</v>
      </c>
      <c r="H101" s="168">
        <v>100</v>
      </c>
      <c r="I101" s="168">
        <v>40</v>
      </c>
      <c r="J101" s="168">
        <v>4</v>
      </c>
      <c r="K101" s="168">
        <v>25</v>
      </c>
      <c r="L101" s="1"/>
    </row>
    <row r="102" spans="1:12" hidden="1">
      <c r="A102" s="30">
        <v>106</v>
      </c>
      <c r="B102" s="1" t="s">
        <v>1816</v>
      </c>
      <c r="C102" s="28" t="s">
        <v>2233</v>
      </c>
      <c r="D102" s="1" t="s">
        <v>14</v>
      </c>
      <c r="E102" s="1" t="s">
        <v>1699</v>
      </c>
      <c r="F102" s="1" t="s">
        <v>2345</v>
      </c>
      <c r="G102" s="241" t="str">
        <f t="shared" si="1"/>
        <v>50504</v>
      </c>
      <c r="H102" s="168">
        <v>50</v>
      </c>
      <c r="I102" s="168">
        <v>50</v>
      </c>
      <c r="J102" s="168">
        <v>4</v>
      </c>
      <c r="K102" s="168">
        <v>1</v>
      </c>
      <c r="L102" s="1"/>
    </row>
    <row r="103" spans="1:12" hidden="1">
      <c r="A103" s="30">
        <v>107</v>
      </c>
      <c r="B103" s="1" t="s">
        <v>1817</v>
      </c>
      <c r="C103" s="28" t="s">
        <v>2233</v>
      </c>
      <c r="D103" s="1" t="s">
        <v>14</v>
      </c>
      <c r="E103" s="1" t="s">
        <v>1699</v>
      </c>
      <c r="F103" s="1" t="s">
        <v>2346</v>
      </c>
      <c r="G103" s="241" t="str">
        <f t="shared" si="1"/>
        <v>50354</v>
      </c>
      <c r="H103" s="168">
        <v>50</v>
      </c>
      <c r="I103" s="168">
        <v>35</v>
      </c>
      <c r="J103" s="168">
        <v>4</v>
      </c>
      <c r="K103" s="168">
        <v>50</v>
      </c>
      <c r="L103" s="1"/>
    </row>
    <row r="104" spans="1:12" hidden="1">
      <c r="A104" s="30">
        <v>108</v>
      </c>
      <c r="B104" s="1" t="s">
        <v>1818</v>
      </c>
      <c r="C104" s="28" t="s">
        <v>2233</v>
      </c>
      <c r="D104" s="1" t="s">
        <v>14</v>
      </c>
      <c r="E104" s="1" t="s">
        <v>1699</v>
      </c>
      <c r="F104" s="1" t="s">
        <v>2347</v>
      </c>
      <c r="G104" s="241" t="str">
        <f t="shared" si="1"/>
        <v>60303</v>
      </c>
      <c r="H104" s="168">
        <v>60</v>
      </c>
      <c r="I104" s="168">
        <v>30</v>
      </c>
      <c r="J104" s="168">
        <v>3</v>
      </c>
      <c r="K104" s="168">
        <v>68</v>
      </c>
      <c r="L104" s="1"/>
    </row>
    <row r="105" spans="1:12" hidden="1">
      <c r="A105" s="30">
        <v>109</v>
      </c>
      <c r="B105" s="1" t="s">
        <v>1819</v>
      </c>
      <c r="C105" s="28" t="s">
        <v>2233</v>
      </c>
      <c r="D105" s="1" t="s">
        <v>14</v>
      </c>
      <c r="E105" s="1" t="s">
        <v>1699</v>
      </c>
      <c r="F105" s="1" t="s">
        <v>2348</v>
      </c>
      <c r="G105" s="241" t="str">
        <f t="shared" si="1"/>
        <v>60353</v>
      </c>
      <c r="H105" s="168">
        <v>60</v>
      </c>
      <c r="I105" s="168">
        <v>35</v>
      </c>
      <c r="J105" s="168">
        <v>3</v>
      </c>
      <c r="K105" s="168">
        <v>34</v>
      </c>
      <c r="L105" s="1"/>
    </row>
    <row r="106" spans="1:12" hidden="1">
      <c r="A106" s="30">
        <v>110</v>
      </c>
      <c r="B106" s="1" t="s">
        <v>1820</v>
      </c>
      <c r="C106" s="28" t="s">
        <v>2233</v>
      </c>
      <c r="D106" s="1" t="s">
        <v>16</v>
      </c>
      <c r="E106" s="1" t="s">
        <v>1700</v>
      </c>
      <c r="F106" s="1" t="s">
        <v>2349</v>
      </c>
      <c r="G106" s="241" t="str">
        <f t="shared" si="1"/>
        <v>90453</v>
      </c>
      <c r="H106" s="168">
        <v>90</v>
      </c>
      <c r="I106" s="168">
        <v>45</v>
      </c>
      <c r="J106" s="168">
        <v>3</v>
      </c>
      <c r="K106" s="168">
        <v>26</v>
      </c>
      <c r="L106" s="1"/>
    </row>
    <row r="107" spans="1:12" hidden="1">
      <c r="A107" s="30">
        <v>111</v>
      </c>
      <c r="B107" s="1" t="s">
        <v>1821</v>
      </c>
      <c r="C107" s="28" t="s">
        <v>2233</v>
      </c>
      <c r="D107" s="1" t="s">
        <v>16</v>
      </c>
      <c r="E107" s="1" t="s">
        <v>1700</v>
      </c>
      <c r="F107" s="1" t="s">
        <v>2350</v>
      </c>
      <c r="G107" s="241" t="str">
        <f t="shared" si="1"/>
        <v>120353</v>
      </c>
      <c r="H107" s="168">
        <v>120</v>
      </c>
      <c r="I107" s="168">
        <v>35</v>
      </c>
      <c r="J107" s="168">
        <v>3</v>
      </c>
      <c r="K107" s="168">
        <v>25</v>
      </c>
      <c r="L107" s="1"/>
    </row>
    <row r="108" spans="1:12" hidden="1">
      <c r="A108" s="30">
        <v>112</v>
      </c>
      <c r="B108" s="1" t="s">
        <v>1822</v>
      </c>
      <c r="C108" s="28" t="s">
        <v>2233</v>
      </c>
      <c r="D108" s="1" t="s">
        <v>16</v>
      </c>
      <c r="E108" s="1" t="s">
        <v>1700</v>
      </c>
      <c r="F108" s="1" t="s">
        <v>2351</v>
      </c>
      <c r="G108" s="241" t="str">
        <f t="shared" si="1"/>
        <v>150353</v>
      </c>
      <c r="H108" s="168">
        <v>150</v>
      </c>
      <c r="I108" s="168">
        <v>35</v>
      </c>
      <c r="J108" s="168">
        <v>3</v>
      </c>
      <c r="K108" s="168">
        <v>22</v>
      </c>
      <c r="L108" s="1"/>
    </row>
    <row r="109" spans="1:12" hidden="1">
      <c r="A109" s="30">
        <v>113</v>
      </c>
      <c r="B109" s="1" t="s">
        <v>1823</v>
      </c>
      <c r="C109" s="28" t="s">
        <v>2233</v>
      </c>
      <c r="D109" s="1" t="s">
        <v>16</v>
      </c>
      <c r="E109" s="1" t="s">
        <v>1700</v>
      </c>
      <c r="F109" s="1" t="s">
        <v>2352</v>
      </c>
      <c r="G109" s="241" t="str">
        <f t="shared" si="1"/>
        <v>200353</v>
      </c>
      <c r="H109" s="168">
        <v>200</v>
      </c>
      <c r="I109" s="168">
        <v>35</v>
      </c>
      <c r="J109" s="168">
        <v>3</v>
      </c>
      <c r="K109" s="168">
        <v>20</v>
      </c>
      <c r="L109" s="1"/>
    </row>
    <row r="110" spans="1:12" hidden="1">
      <c r="A110" s="30">
        <v>114</v>
      </c>
      <c r="B110" s="1" t="s">
        <v>1824</v>
      </c>
      <c r="C110" s="28" t="s">
        <v>2233</v>
      </c>
      <c r="D110" s="1" t="s">
        <v>16</v>
      </c>
      <c r="E110" s="1" t="s">
        <v>1700</v>
      </c>
      <c r="F110" s="1" t="s">
        <v>2353</v>
      </c>
      <c r="G110" s="241" t="str">
        <f t="shared" si="1"/>
        <v>12014.53</v>
      </c>
      <c r="H110" s="168">
        <v>120</v>
      </c>
      <c r="I110" s="168">
        <v>14.5</v>
      </c>
      <c r="J110" s="168">
        <v>3</v>
      </c>
      <c r="K110" s="168">
        <v>50</v>
      </c>
      <c r="L110" s="1"/>
    </row>
    <row r="111" spans="1:12" hidden="1">
      <c r="A111" s="30">
        <v>115</v>
      </c>
      <c r="B111" s="1" t="s">
        <v>1825</v>
      </c>
      <c r="C111" s="28" t="s">
        <v>2233</v>
      </c>
      <c r="D111" s="1" t="s">
        <v>16</v>
      </c>
      <c r="E111" s="1" t="s">
        <v>1700</v>
      </c>
      <c r="F111" s="1" t="s">
        <v>2354</v>
      </c>
      <c r="G111" s="241" t="str">
        <f t="shared" si="1"/>
        <v>15014.53</v>
      </c>
      <c r="H111" s="168">
        <v>150</v>
      </c>
      <c r="I111" s="168">
        <v>14.5</v>
      </c>
      <c r="J111" s="168">
        <v>3</v>
      </c>
      <c r="K111" s="168">
        <v>44</v>
      </c>
      <c r="L111" s="1"/>
    </row>
    <row r="112" spans="1:12" hidden="1">
      <c r="A112" s="30">
        <v>116</v>
      </c>
      <c r="B112" s="1" t="s">
        <v>1826</v>
      </c>
      <c r="C112" s="28" t="s">
        <v>2233</v>
      </c>
      <c r="D112" s="1" t="s">
        <v>16</v>
      </c>
      <c r="E112" s="1" t="s">
        <v>1700</v>
      </c>
      <c r="F112" s="1" t="s">
        <v>2355</v>
      </c>
      <c r="G112" s="241" t="str">
        <f t="shared" si="1"/>
        <v>20014.53</v>
      </c>
      <c r="H112" s="168">
        <v>200</v>
      </c>
      <c r="I112" s="168">
        <v>14.5</v>
      </c>
      <c r="J112" s="168">
        <v>3</v>
      </c>
      <c r="K112" s="168">
        <v>50</v>
      </c>
      <c r="L112" s="1"/>
    </row>
    <row r="113" spans="1:12" hidden="1">
      <c r="A113" s="30">
        <v>117</v>
      </c>
      <c r="B113" s="1" t="s">
        <v>1827</v>
      </c>
      <c r="C113" s="28" t="s">
        <v>2233</v>
      </c>
      <c r="D113" s="1" t="s">
        <v>14</v>
      </c>
      <c r="E113" s="1" t="s">
        <v>1701</v>
      </c>
      <c r="F113" s="1" t="s">
        <v>2356</v>
      </c>
      <c r="G113" s="241" t="str">
        <f t="shared" si="1"/>
        <v>100205</v>
      </c>
      <c r="H113" s="168">
        <v>100</v>
      </c>
      <c r="I113" s="168">
        <v>20</v>
      </c>
      <c r="J113" s="168">
        <v>5</v>
      </c>
      <c r="K113" s="168">
        <v>36</v>
      </c>
      <c r="L113" s="1"/>
    </row>
    <row r="114" spans="1:12" hidden="1">
      <c r="A114" s="30">
        <v>118</v>
      </c>
      <c r="B114" s="1" t="s">
        <v>1828</v>
      </c>
      <c r="C114" s="28" t="s">
        <v>2233</v>
      </c>
      <c r="D114" s="1" t="s">
        <v>14</v>
      </c>
      <c r="E114" s="1" t="s">
        <v>1701</v>
      </c>
      <c r="F114" s="1" t="s">
        <v>2357</v>
      </c>
      <c r="G114" s="241" t="str">
        <f t="shared" si="1"/>
        <v>203515</v>
      </c>
      <c r="H114" s="168">
        <v>20</v>
      </c>
      <c r="I114" s="168">
        <v>35</v>
      </c>
      <c r="J114" s="168">
        <v>15</v>
      </c>
      <c r="K114" s="168">
        <v>40</v>
      </c>
      <c r="L114" s="1"/>
    </row>
    <row r="115" spans="1:12" hidden="1">
      <c r="A115" s="30">
        <v>119</v>
      </c>
      <c r="B115" s="1" t="s">
        <v>1829</v>
      </c>
      <c r="C115" s="28" t="s">
        <v>2235</v>
      </c>
      <c r="D115" s="1" t="s">
        <v>16</v>
      </c>
      <c r="E115" s="1" t="s">
        <v>1694</v>
      </c>
      <c r="F115" s="1" t="s">
        <v>2358</v>
      </c>
      <c r="G115" s="241" t="str">
        <f t="shared" si="1"/>
        <v>1003016</v>
      </c>
      <c r="H115" s="168">
        <v>100</v>
      </c>
      <c r="I115" s="168">
        <v>30</v>
      </c>
      <c r="J115" s="168">
        <v>16</v>
      </c>
      <c r="K115" s="168">
        <v>9</v>
      </c>
      <c r="L115" s="1"/>
    </row>
    <row r="116" spans="1:12" hidden="1">
      <c r="A116" s="30">
        <v>120</v>
      </c>
      <c r="B116" s="1" t="s">
        <v>1830</v>
      </c>
      <c r="C116" s="28" t="s">
        <v>2235</v>
      </c>
      <c r="D116" s="1" t="s">
        <v>16</v>
      </c>
      <c r="E116" s="1" t="s">
        <v>1694</v>
      </c>
      <c r="F116" s="1" t="s">
        <v>2359</v>
      </c>
      <c r="G116" s="241" t="str">
        <f t="shared" si="1"/>
        <v>1253016</v>
      </c>
      <c r="H116" s="168">
        <v>125</v>
      </c>
      <c r="I116" s="168">
        <v>30</v>
      </c>
      <c r="J116" s="168">
        <v>16</v>
      </c>
      <c r="K116" s="168">
        <v>6</v>
      </c>
      <c r="L116" s="1"/>
    </row>
    <row r="117" spans="1:12" hidden="1">
      <c r="A117" s="30">
        <v>121</v>
      </c>
      <c r="B117" s="1" t="s">
        <v>1831</v>
      </c>
      <c r="C117" s="28" t="s">
        <v>2235</v>
      </c>
      <c r="D117" s="1" t="s">
        <v>16</v>
      </c>
      <c r="E117" s="1" t="s">
        <v>1694</v>
      </c>
      <c r="F117" s="1" t="s">
        <v>2360</v>
      </c>
      <c r="G117" s="241" t="str">
        <f t="shared" si="1"/>
        <v>1003016</v>
      </c>
      <c r="H117" s="168">
        <v>100</v>
      </c>
      <c r="I117" s="168">
        <v>30</v>
      </c>
      <c r="J117" s="168">
        <v>16</v>
      </c>
      <c r="K117" s="168">
        <v>9</v>
      </c>
      <c r="L117" s="1"/>
    </row>
    <row r="118" spans="1:12" hidden="1">
      <c r="A118" s="30">
        <v>122</v>
      </c>
      <c r="B118" s="1" t="s">
        <v>1832</v>
      </c>
      <c r="C118" s="28" t="s">
        <v>2235</v>
      </c>
      <c r="D118" s="1" t="s">
        <v>16</v>
      </c>
      <c r="E118" s="1" t="s">
        <v>1694</v>
      </c>
      <c r="F118" s="1" t="s">
        <v>2361</v>
      </c>
      <c r="G118" s="241" t="str">
        <f t="shared" si="1"/>
        <v>1253016</v>
      </c>
      <c r="H118" s="168">
        <v>125</v>
      </c>
      <c r="I118" s="168">
        <v>30</v>
      </c>
      <c r="J118" s="168">
        <v>16</v>
      </c>
      <c r="K118" s="168">
        <v>4</v>
      </c>
      <c r="L118" s="1"/>
    </row>
    <row r="119" spans="1:12" hidden="1">
      <c r="A119" s="30">
        <v>123</v>
      </c>
      <c r="B119" s="243" t="s">
        <v>2953</v>
      </c>
      <c r="C119" s="28" t="s">
        <v>2233</v>
      </c>
      <c r="D119" s="1" t="s">
        <v>16</v>
      </c>
      <c r="E119" s="1" t="s">
        <v>1694</v>
      </c>
      <c r="F119" s="242" t="s">
        <v>2959</v>
      </c>
      <c r="G119" s="241" t="str">
        <f t="shared" si="1"/>
        <v>1003515</v>
      </c>
      <c r="H119" s="168">
        <v>100</v>
      </c>
      <c r="I119" s="168">
        <v>35</v>
      </c>
      <c r="J119" s="168">
        <v>15</v>
      </c>
      <c r="K119" s="168">
        <v>8</v>
      </c>
      <c r="L119" s="1"/>
    </row>
    <row r="120" spans="1:12" hidden="1">
      <c r="A120" s="30">
        <v>124</v>
      </c>
      <c r="B120" s="243" t="s">
        <v>2968</v>
      </c>
      <c r="C120" s="28" t="s">
        <v>2235</v>
      </c>
      <c r="D120" s="1" t="s">
        <v>16</v>
      </c>
      <c r="E120" s="1" t="s">
        <v>1694</v>
      </c>
      <c r="F120" s="242" t="s">
        <v>2967</v>
      </c>
      <c r="G120" s="241" t="str">
        <f t="shared" si="1"/>
        <v>1503515</v>
      </c>
      <c r="H120" s="168">
        <v>150</v>
      </c>
      <c r="I120" s="168">
        <v>35</v>
      </c>
      <c r="J120" s="168">
        <v>15</v>
      </c>
      <c r="K120" s="168">
        <v>6</v>
      </c>
      <c r="L120" s="1"/>
    </row>
    <row r="121" spans="1:12" hidden="1">
      <c r="A121" s="30">
        <v>125</v>
      </c>
      <c r="B121" s="1" t="s">
        <v>1835</v>
      </c>
      <c r="C121" s="28" t="s">
        <v>2235</v>
      </c>
      <c r="D121" s="1" t="s">
        <v>16</v>
      </c>
      <c r="E121" s="1" t="s">
        <v>1694</v>
      </c>
      <c r="F121" s="1" t="s">
        <v>2364</v>
      </c>
      <c r="G121" s="241" t="str">
        <f t="shared" si="1"/>
        <v>503515</v>
      </c>
      <c r="H121" s="168">
        <v>50</v>
      </c>
      <c r="I121" s="168">
        <v>35</v>
      </c>
      <c r="J121" s="168">
        <v>15</v>
      </c>
      <c r="K121" s="168">
        <v>10</v>
      </c>
      <c r="L121" s="1"/>
    </row>
    <row r="122" spans="1:12" hidden="1">
      <c r="A122" s="30">
        <v>126</v>
      </c>
      <c r="B122" s="1" t="s">
        <v>1836</v>
      </c>
      <c r="C122" s="28" t="s">
        <v>2235</v>
      </c>
      <c r="D122" s="1" t="s">
        <v>13</v>
      </c>
      <c r="E122" s="1" t="s">
        <v>1696</v>
      </c>
      <c r="F122" s="1" t="s">
        <v>2365</v>
      </c>
      <c r="G122" s="241" t="str">
        <f t="shared" si="1"/>
        <v>10105</v>
      </c>
      <c r="H122" s="168">
        <v>10</v>
      </c>
      <c r="I122" s="168">
        <v>10</v>
      </c>
      <c r="J122" s="168">
        <v>5</v>
      </c>
      <c r="K122" s="168">
        <v>720</v>
      </c>
      <c r="L122" s="1"/>
    </row>
    <row r="123" spans="1:12" hidden="1">
      <c r="A123" s="30">
        <v>127</v>
      </c>
      <c r="B123" s="1" t="s">
        <v>1837</v>
      </c>
      <c r="C123" s="28" t="s">
        <v>2235</v>
      </c>
      <c r="D123" s="1" t="s">
        <v>13</v>
      </c>
      <c r="E123" s="1" t="s">
        <v>1696</v>
      </c>
      <c r="F123" s="1" t="s">
        <v>2366</v>
      </c>
      <c r="G123" s="241" t="str">
        <f t="shared" si="1"/>
        <v>20105</v>
      </c>
      <c r="H123" s="168">
        <v>20</v>
      </c>
      <c r="I123" s="168">
        <v>10</v>
      </c>
      <c r="J123" s="168">
        <v>5</v>
      </c>
      <c r="K123" s="168">
        <v>360</v>
      </c>
      <c r="L123" s="1"/>
    </row>
    <row r="124" spans="1:12" s="9" customFormat="1" hidden="1">
      <c r="A124" s="180">
        <v>128</v>
      </c>
      <c r="B124" s="181" t="s">
        <v>1838</v>
      </c>
      <c r="C124" s="182" t="s">
        <v>2235</v>
      </c>
      <c r="D124" s="181" t="s">
        <v>21</v>
      </c>
      <c r="E124" s="181" t="s">
        <v>40</v>
      </c>
      <c r="F124" s="181" t="s">
        <v>2854</v>
      </c>
      <c r="G124" s="241" t="str">
        <f t="shared" si="1"/>
        <v>4029.52</v>
      </c>
      <c r="H124" s="183">
        <v>40</v>
      </c>
      <c r="I124" s="183">
        <v>29.5</v>
      </c>
      <c r="J124" s="183">
        <v>2</v>
      </c>
      <c r="K124" s="183">
        <v>132</v>
      </c>
      <c r="L124" s="181" t="s">
        <v>1702</v>
      </c>
    </row>
    <row r="125" spans="1:12" s="9" customFormat="1" hidden="1">
      <c r="A125" s="180">
        <v>129</v>
      </c>
      <c r="B125" s="181" t="s">
        <v>1839</v>
      </c>
      <c r="C125" s="182" t="s">
        <v>2235</v>
      </c>
      <c r="D125" s="181" t="s">
        <v>21</v>
      </c>
      <c r="E125" s="181" t="s">
        <v>40</v>
      </c>
      <c r="F125" s="181" t="s">
        <v>2855</v>
      </c>
      <c r="G125" s="241" t="str">
        <f t="shared" si="1"/>
        <v>31.25206</v>
      </c>
      <c r="H125" s="183">
        <v>31.25</v>
      </c>
      <c r="I125" s="183">
        <v>20</v>
      </c>
      <c r="J125" s="183">
        <v>6</v>
      </c>
      <c r="K125" s="183">
        <v>80</v>
      </c>
      <c r="L125" s="181" t="s">
        <v>1703</v>
      </c>
    </row>
    <row r="126" spans="1:12" s="9" customFormat="1" hidden="1">
      <c r="A126" s="180">
        <v>130</v>
      </c>
      <c r="B126" s="181" t="s">
        <v>1840</v>
      </c>
      <c r="C126" s="182" t="s">
        <v>2235</v>
      </c>
      <c r="D126" s="181" t="s">
        <v>21</v>
      </c>
      <c r="E126" s="181" t="s">
        <v>40</v>
      </c>
      <c r="F126" s="181" t="s">
        <v>2856</v>
      </c>
      <c r="G126" s="241" t="str">
        <f t="shared" ref="G126:G189" si="2">H126&amp;I126&amp;J126</f>
        <v>4029.52.5</v>
      </c>
      <c r="H126" s="183">
        <v>40</v>
      </c>
      <c r="I126" s="183">
        <v>29.5</v>
      </c>
      <c r="J126" s="183">
        <v>2.5</v>
      </c>
      <c r="K126" s="183">
        <v>108</v>
      </c>
      <c r="L126" s="181" t="s">
        <v>1704</v>
      </c>
    </row>
    <row r="127" spans="1:12" s="9" customFormat="1" hidden="1">
      <c r="A127" s="180">
        <v>131</v>
      </c>
      <c r="B127" s="181" t="s">
        <v>1841</v>
      </c>
      <c r="C127" s="182" t="s">
        <v>2235</v>
      </c>
      <c r="D127" s="181" t="s">
        <v>21</v>
      </c>
      <c r="E127" s="181" t="s">
        <v>40</v>
      </c>
      <c r="F127" s="181" t="s">
        <v>2857</v>
      </c>
      <c r="G127" s="241" t="str">
        <f t="shared" si="2"/>
        <v>48303</v>
      </c>
      <c r="H127" s="183">
        <v>48</v>
      </c>
      <c r="I127" s="183">
        <v>30</v>
      </c>
      <c r="J127" s="183">
        <v>3</v>
      </c>
      <c r="K127" s="183">
        <v>50</v>
      </c>
      <c r="L127" s="181" t="s">
        <v>1705</v>
      </c>
    </row>
    <row r="128" spans="1:12" hidden="1">
      <c r="A128" s="30">
        <v>132</v>
      </c>
      <c r="B128" s="1" t="s">
        <v>1842</v>
      </c>
      <c r="C128" s="28" t="s">
        <v>2235</v>
      </c>
      <c r="D128" s="1" t="s">
        <v>15</v>
      </c>
      <c r="E128" s="1" t="s">
        <v>29</v>
      </c>
      <c r="F128" s="1" t="s">
        <v>2367</v>
      </c>
      <c r="G128" s="241" t="str">
        <f t="shared" si="2"/>
        <v>60305</v>
      </c>
      <c r="H128" s="168">
        <v>60</v>
      </c>
      <c r="I128" s="168">
        <v>30</v>
      </c>
      <c r="J128" s="168">
        <v>5</v>
      </c>
      <c r="K128" s="168">
        <v>40</v>
      </c>
      <c r="L128" s="1"/>
    </row>
    <row r="129" spans="1:12" hidden="1">
      <c r="A129" s="30">
        <v>133</v>
      </c>
      <c r="B129" s="1" t="s">
        <v>1843</v>
      </c>
      <c r="C129" s="28" t="s">
        <v>2235</v>
      </c>
      <c r="D129" s="1" t="s">
        <v>15</v>
      </c>
      <c r="E129" s="1" t="s">
        <v>29</v>
      </c>
      <c r="F129" s="1" t="s">
        <v>2368</v>
      </c>
      <c r="G129" s="241" t="str">
        <f t="shared" si="2"/>
        <v>100155</v>
      </c>
      <c r="H129" s="168">
        <v>100</v>
      </c>
      <c r="I129" s="168">
        <v>15</v>
      </c>
      <c r="J129" s="168">
        <v>5</v>
      </c>
      <c r="K129" s="168">
        <v>48</v>
      </c>
      <c r="L129" s="1"/>
    </row>
    <row r="130" spans="1:12" hidden="1">
      <c r="A130" s="30">
        <v>134</v>
      </c>
      <c r="B130" s="1" t="s">
        <v>1844</v>
      </c>
      <c r="C130" s="28" t="s">
        <v>2235</v>
      </c>
      <c r="D130" s="1" t="s">
        <v>15</v>
      </c>
      <c r="E130" s="1" t="s">
        <v>29</v>
      </c>
      <c r="F130" s="1" t="s">
        <v>2369</v>
      </c>
      <c r="G130" s="241" t="str">
        <f t="shared" si="2"/>
        <v>100205</v>
      </c>
      <c r="H130" s="168">
        <v>100</v>
      </c>
      <c r="I130" s="168">
        <v>20</v>
      </c>
      <c r="J130" s="168">
        <v>5</v>
      </c>
      <c r="K130" s="168">
        <v>36</v>
      </c>
      <c r="L130" s="1"/>
    </row>
    <row r="131" spans="1:12" hidden="1">
      <c r="A131" s="30">
        <v>135</v>
      </c>
      <c r="B131" s="1" t="s">
        <v>1845</v>
      </c>
      <c r="C131" s="28" t="s">
        <v>2235</v>
      </c>
      <c r="D131" s="1" t="s">
        <v>15</v>
      </c>
      <c r="E131" s="1" t="s">
        <v>29</v>
      </c>
      <c r="F131" s="179" t="s">
        <v>2370</v>
      </c>
      <c r="G131" s="241" t="str">
        <f t="shared" si="2"/>
        <v>1002510</v>
      </c>
      <c r="H131" s="168">
        <v>100</v>
      </c>
      <c r="I131" s="168">
        <v>25</v>
      </c>
      <c r="J131" s="168">
        <v>10</v>
      </c>
      <c r="K131" s="168">
        <v>16</v>
      </c>
      <c r="L131" s="1"/>
    </row>
    <row r="132" spans="1:12" hidden="1">
      <c r="A132" s="30">
        <v>136</v>
      </c>
      <c r="B132" s="1" t="s">
        <v>1846</v>
      </c>
      <c r="C132" s="28" t="s">
        <v>2235</v>
      </c>
      <c r="D132" s="1" t="s">
        <v>15</v>
      </c>
      <c r="E132" s="1" t="s">
        <v>29</v>
      </c>
      <c r="F132" s="1" t="s">
        <v>2371</v>
      </c>
      <c r="G132" s="241" t="str">
        <f t="shared" si="2"/>
        <v>100305</v>
      </c>
      <c r="H132" s="168">
        <v>100</v>
      </c>
      <c r="I132" s="168">
        <v>30</v>
      </c>
      <c r="J132" s="168">
        <v>5</v>
      </c>
      <c r="K132" s="168">
        <v>24</v>
      </c>
      <c r="L132" s="1"/>
    </row>
    <row r="133" spans="1:12" hidden="1">
      <c r="A133" s="30">
        <v>137</v>
      </c>
      <c r="B133" s="1" t="s">
        <v>1847</v>
      </c>
      <c r="C133" s="28" t="s">
        <v>2235</v>
      </c>
      <c r="D133" s="1" t="s">
        <v>15</v>
      </c>
      <c r="E133" s="1" t="s">
        <v>29</v>
      </c>
      <c r="F133" s="1" t="s">
        <v>2372</v>
      </c>
      <c r="G133" s="241" t="str">
        <f t="shared" si="2"/>
        <v>100355</v>
      </c>
      <c r="H133" s="168">
        <v>100</v>
      </c>
      <c r="I133" s="168">
        <v>35</v>
      </c>
      <c r="J133" s="168">
        <v>5</v>
      </c>
      <c r="K133" s="168">
        <v>20</v>
      </c>
      <c r="L133" s="1"/>
    </row>
    <row r="134" spans="1:12" hidden="1">
      <c r="A134" s="30">
        <v>138</v>
      </c>
      <c r="B134" s="1" t="s">
        <v>1848</v>
      </c>
      <c r="C134" s="28" t="s">
        <v>2235</v>
      </c>
      <c r="D134" s="1" t="s">
        <v>15</v>
      </c>
      <c r="E134" s="1" t="s">
        <v>29</v>
      </c>
      <c r="F134" s="1" t="s">
        <v>2373</v>
      </c>
      <c r="G134" s="241" t="str">
        <f t="shared" si="2"/>
        <v>1252510</v>
      </c>
      <c r="H134" s="168">
        <v>125</v>
      </c>
      <c r="I134" s="168">
        <v>25</v>
      </c>
      <c r="J134" s="168">
        <v>10</v>
      </c>
      <c r="K134" s="168">
        <v>14</v>
      </c>
      <c r="L134" s="1"/>
    </row>
    <row r="135" spans="1:12" hidden="1">
      <c r="A135" s="30">
        <v>139</v>
      </c>
      <c r="B135" s="1" t="s">
        <v>1849</v>
      </c>
      <c r="C135" s="28" t="s">
        <v>2235</v>
      </c>
      <c r="D135" s="1" t="s">
        <v>15</v>
      </c>
      <c r="E135" s="1" t="s">
        <v>29</v>
      </c>
      <c r="F135" s="1" t="s">
        <v>2374</v>
      </c>
      <c r="G135" s="241" t="str">
        <f t="shared" si="2"/>
        <v>502510</v>
      </c>
      <c r="H135" s="168">
        <v>50</v>
      </c>
      <c r="I135" s="168">
        <v>25</v>
      </c>
      <c r="J135" s="168">
        <v>10</v>
      </c>
      <c r="K135" s="168">
        <v>32</v>
      </c>
      <c r="L135" s="1"/>
    </row>
    <row r="136" spans="1:12" hidden="1">
      <c r="A136" s="30">
        <v>140</v>
      </c>
      <c r="B136" s="1" t="s">
        <v>1850</v>
      </c>
      <c r="C136" s="28" t="s">
        <v>2235</v>
      </c>
      <c r="D136" s="1" t="s">
        <v>15</v>
      </c>
      <c r="E136" s="1" t="s">
        <v>29</v>
      </c>
      <c r="F136" s="1" t="s">
        <v>2375</v>
      </c>
      <c r="G136" s="241" t="str">
        <f t="shared" si="2"/>
        <v>752510</v>
      </c>
      <c r="H136" s="168">
        <v>75</v>
      </c>
      <c r="I136" s="168">
        <v>25</v>
      </c>
      <c r="J136" s="168">
        <v>10</v>
      </c>
      <c r="K136" s="168">
        <v>20</v>
      </c>
      <c r="L136" s="1"/>
    </row>
    <row r="137" spans="1:12" hidden="1">
      <c r="A137" s="30">
        <v>141</v>
      </c>
      <c r="B137" s="1" t="s">
        <v>1851</v>
      </c>
      <c r="C137" s="28" t="s">
        <v>2235</v>
      </c>
      <c r="D137" s="1" t="s">
        <v>15</v>
      </c>
      <c r="E137" s="1" t="s">
        <v>29</v>
      </c>
      <c r="F137" s="1" t="s">
        <v>2376</v>
      </c>
      <c r="G137" s="241" t="str">
        <f t="shared" si="2"/>
        <v>100155</v>
      </c>
      <c r="H137" s="168">
        <v>100</v>
      </c>
      <c r="I137" s="168">
        <v>15</v>
      </c>
      <c r="J137" s="168">
        <v>5</v>
      </c>
      <c r="K137" s="168">
        <v>48</v>
      </c>
      <c r="L137" s="1"/>
    </row>
    <row r="138" spans="1:12" hidden="1">
      <c r="A138" s="30">
        <v>142</v>
      </c>
      <c r="B138" s="1" t="s">
        <v>1852</v>
      </c>
      <c r="C138" s="28" t="s">
        <v>2235</v>
      </c>
      <c r="D138" s="1" t="s">
        <v>15</v>
      </c>
      <c r="E138" s="1" t="s">
        <v>29</v>
      </c>
      <c r="F138" s="1" t="s">
        <v>2377</v>
      </c>
      <c r="G138" s="241" t="str">
        <f t="shared" si="2"/>
        <v>100205</v>
      </c>
      <c r="H138" s="168">
        <v>100</v>
      </c>
      <c r="I138" s="168">
        <v>20</v>
      </c>
      <c r="J138" s="168">
        <v>5</v>
      </c>
      <c r="K138" s="168">
        <v>36</v>
      </c>
      <c r="L138" s="1"/>
    </row>
    <row r="139" spans="1:12" hidden="1">
      <c r="A139" s="30">
        <v>143</v>
      </c>
      <c r="B139" s="1" t="s">
        <v>1853</v>
      </c>
      <c r="C139" s="28" t="s">
        <v>2235</v>
      </c>
      <c r="D139" s="1" t="s">
        <v>15</v>
      </c>
      <c r="E139" s="1" t="s">
        <v>29</v>
      </c>
      <c r="F139" s="1" t="s">
        <v>2378</v>
      </c>
      <c r="G139" s="241" t="str">
        <f t="shared" si="2"/>
        <v>100255</v>
      </c>
      <c r="H139" s="168">
        <v>100</v>
      </c>
      <c r="I139" s="168">
        <v>25</v>
      </c>
      <c r="J139" s="168">
        <v>5</v>
      </c>
      <c r="K139" s="168">
        <v>24</v>
      </c>
      <c r="L139" s="1"/>
    </row>
    <row r="140" spans="1:12" hidden="1">
      <c r="A140" s="30">
        <v>144</v>
      </c>
      <c r="B140" s="1" t="s">
        <v>1854</v>
      </c>
      <c r="C140" s="28" t="s">
        <v>2235</v>
      </c>
      <c r="D140" s="1" t="s">
        <v>15</v>
      </c>
      <c r="E140" s="1" t="s">
        <v>29</v>
      </c>
      <c r="F140" s="1" t="s">
        <v>2379</v>
      </c>
      <c r="G140" s="241" t="str">
        <f t="shared" si="2"/>
        <v>100305</v>
      </c>
      <c r="H140" s="168">
        <v>100</v>
      </c>
      <c r="I140" s="168">
        <v>30</v>
      </c>
      <c r="J140" s="168">
        <v>5</v>
      </c>
      <c r="K140" s="168">
        <v>24</v>
      </c>
      <c r="L140" s="1"/>
    </row>
    <row r="141" spans="1:12" hidden="1">
      <c r="A141" s="30">
        <v>145</v>
      </c>
      <c r="B141" s="1" t="s">
        <v>1855</v>
      </c>
      <c r="C141" s="28" t="s">
        <v>2235</v>
      </c>
      <c r="D141" s="1" t="s">
        <v>15</v>
      </c>
      <c r="E141" s="1" t="s">
        <v>29</v>
      </c>
      <c r="F141" s="1" t="s">
        <v>2380</v>
      </c>
      <c r="G141" s="241" t="str">
        <f t="shared" si="2"/>
        <v>50258</v>
      </c>
      <c r="H141" s="168">
        <v>50</v>
      </c>
      <c r="I141" s="168">
        <v>25</v>
      </c>
      <c r="J141" s="168">
        <v>8</v>
      </c>
      <c r="K141" s="168">
        <v>40</v>
      </c>
      <c r="L141" s="1"/>
    </row>
    <row r="142" spans="1:12" hidden="1">
      <c r="A142" s="30">
        <v>146</v>
      </c>
      <c r="B142" s="1" t="s">
        <v>1856</v>
      </c>
      <c r="C142" s="28" t="s">
        <v>2235</v>
      </c>
      <c r="D142" s="1" t="s">
        <v>15</v>
      </c>
      <c r="E142" s="1" t="s">
        <v>29</v>
      </c>
      <c r="F142" s="1" t="s">
        <v>2381</v>
      </c>
      <c r="G142" s="241" t="str">
        <f t="shared" si="2"/>
        <v>75258</v>
      </c>
      <c r="H142" s="168">
        <v>75</v>
      </c>
      <c r="I142" s="168">
        <v>25</v>
      </c>
      <c r="J142" s="168">
        <v>8</v>
      </c>
      <c r="K142" s="168">
        <v>24</v>
      </c>
      <c r="L142" s="1"/>
    </row>
    <row r="143" spans="1:12" hidden="1">
      <c r="A143" s="30">
        <v>147</v>
      </c>
      <c r="B143" s="1" t="s">
        <v>1857</v>
      </c>
      <c r="C143" s="28" t="s">
        <v>2235</v>
      </c>
      <c r="D143" s="1" t="s">
        <v>15</v>
      </c>
      <c r="E143" s="1" t="s">
        <v>29</v>
      </c>
      <c r="F143" s="1" t="s">
        <v>2382</v>
      </c>
      <c r="G143" s="241" t="str">
        <f t="shared" si="2"/>
        <v>100206</v>
      </c>
      <c r="H143" s="168">
        <v>100</v>
      </c>
      <c r="I143" s="168">
        <v>20</v>
      </c>
      <c r="J143" s="168">
        <v>6</v>
      </c>
      <c r="K143" s="168">
        <v>30</v>
      </c>
      <c r="L143" s="1"/>
    </row>
    <row r="144" spans="1:12" hidden="1">
      <c r="A144" s="30">
        <v>148</v>
      </c>
      <c r="B144" s="1" t="s">
        <v>1858</v>
      </c>
      <c r="C144" s="28" t="s">
        <v>2235</v>
      </c>
      <c r="D144" s="1" t="s">
        <v>15</v>
      </c>
      <c r="E144" s="1" t="s">
        <v>29</v>
      </c>
      <c r="F144" s="1" t="s">
        <v>2383</v>
      </c>
      <c r="G144" s="241" t="str">
        <f t="shared" si="2"/>
        <v>100258</v>
      </c>
      <c r="H144" s="168">
        <v>100</v>
      </c>
      <c r="I144" s="168">
        <v>25</v>
      </c>
      <c r="J144" s="168">
        <v>8</v>
      </c>
      <c r="K144" s="168">
        <v>20</v>
      </c>
      <c r="L144" s="1"/>
    </row>
    <row r="145" spans="1:12" hidden="1">
      <c r="A145" s="30">
        <v>149</v>
      </c>
      <c r="B145" s="1" t="s">
        <v>1859</v>
      </c>
      <c r="C145" s="28" t="s">
        <v>2235</v>
      </c>
      <c r="D145" s="1" t="s">
        <v>15</v>
      </c>
      <c r="E145" s="1" t="s">
        <v>29</v>
      </c>
      <c r="F145" s="1" t="s">
        <v>2384</v>
      </c>
      <c r="G145" s="241" t="str">
        <f t="shared" si="2"/>
        <v>125258</v>
      </c>
      <c r="H145" s="168">
        <v>125</v>
      </c>
      <c r="I145" s="168">
        <v>25</v>
      </c>
      <c r="J145" s="168">
        <v>8</v>
      </c>
      <c r="K145" s="168">
        <v>16</v>
      </c>
      <c r="L145" s="1"/>
    </row>
    <row r="146" spans="1:12" hidden="1">
      <c r="A146" s="30">
        <v>150</v>
      </c>
      <c r="B146" s="1" t="s">
        <v>1860</v>
      </c>
      <c r="C146" s="28" t="s">
        <v>2235</v>
      </c>
      <c r="D146" s="1" t="s">
        <v>15</v>
      </c>
      <c r="E146" s="1" t="s">
        <v>29</v>
      </c>
      <c r="F146" s="1" t="s">
        <v>2385</v>
      </c>
      <c r="G146" s="241" t="str">
        <f t="shared" si="2"/>
        <v>150258</v>
      </c>
      <c r="H146" s="168">
        <v>150</v>
      </c>
      <c r="I146" s="168">
        <v>25</v>
      </c>
      <c r="J146" s="168">
        <v>8</v>
      </c>
      <c r="K146" s="168">
        <v>14</v>
      </c>
      <c r="L146" s="1"/>
    </row>
    <row r="147" spans="1:12" hidden="1">
      <c r="A147" s="30">
        <v>151</v>
      </c>
      <c r="B147" s="1" t="s">
        <v>1861</v>
      </c>
      <c r="C147" s="28" t="s">
        <v>2235</v>
      </c>
      <c r="D147" s="1" t="s">
        <v>13</v>
      </c>
      <c r="E147" s="1" t="s">
        <v>10</v>
      </c>
      <c r="F147" s="1" t="s">
        <v>2386</v>
      </c>
      <c r="G147" s="241" t="str">
        <f t="shared" si="2"/>
        <v>100.128.54</v>
      </c>
      <c r="H147" s="168">
        <v>100.1</v>
      </c>
      <c r="I147" s="168">
        <v>28.5</v>
      </c>
      <c r="J147" s="168">
        <v>4</v>
      </c>
      <c r="K147" s="168">
        <v>30</v>
      </c>
      <c r="L147" s="1"/>
    </row>
    <row r="148" spans="1:12" hidden="1">
      <c r="A148" s="30">
        <v>152</v>
      </c>
      <c r="B148" s="1" t="s">
        <v>1862</v>
      </c>
      <c r="C148" s="28" t="s">
        <v>2235</v>
      </c>
      <c r="D148" s="1" t="s">
        <v>13</v>
      </c>
      <c r="E148" s="1" t="s">
        <v>10</v>
      </c>
      <c r="F148" s="1" t="s">
        <v>2387</v>
      </c>
      <c r="G148" s="241" t="str">
        <f t="shared" si="2"/>
        <v>100.628.54</v>
      </c>
      <c r="H148" s="168">
        <v>100.6</v>
      </c>
      <c r="I148" s="168">
        <v>28.5</v>
      </c>
      <c r="J148" s="168">
        <v>4</v>
      </c>
      <c r="K148" s="168">
        <v>30</v>
      </c>
      <c r="L148" s="1"/>
    </row>
    <row r="149" spans="1:12" hidden="1">
      <c r="A149" s="30">
        <v>153</v>
      </c>
      <c r="B149" s="1" t="s">
        <v>1863</v>
      </c>
      <c r="C149" s="28" t="s">
        <v>2235</v>
      </c>
      <c r="D149" s="1" t="s">
        <v>18</v>
      </c>
      <c r="E149" s="1" t="s">
        <v>10</v>
      </c>
      <c r="F149" s="1" t="s">
        <v>2388</v>
      </c>
      <c r="G149" s="241" t="str">
        <f t="shared" si="2"/>
        <v>15151.2</v>
      </c>
      <c r="H149" s="168">
        <v>15</v>
      </c>
      <c r="I149" s="168">
        <v>15</v>
      </c>
      <c r="J149" s="168">
        <v>1.2</v>
      </c>
      <c r="K149" s="168">
        <v>50</v>
      </c>
      <c r="L149" s="1"/>
    </row>
    <row r="150" spans="1:12" hidden="1">
      <c r="A150" s="30">
        <v>154</v>
      </c>
      <c r="B150" s="1" t="s">
        <v>1864</v>
      </c>
      <c r="C150" s="28" t="s">
        <v>2235</v>
      </c>
      <c r="D150" s="1" t="s">
        <v>18</v>
      </c>
      <c r="E150" s="1" t="s">
        <v>10</v>
      </c>
      <c r="F150" s="1" t="s">
        <v>2389</v>
      </c>
      <c r="G150" s="241" t="str">
        <f t="shared" si="2"/>
        <v>20202</v>
      </c>
      <c r="H150" s="168">
        <v>20</v>
      </c>
      <c r="I150" s="168">
        <v>20</v>
      </c>
      <c r="J150" s="168">
        <v>2</v>
      </c>
      <c r="K150" s="168">
        <v>450</v>
      </c>
      <c r="L150" s="1"/>
    </row>
    <row r="151" spans="1:12" hidden="1">
      <c r="A151" s="30">
        <v>155</v>
      </c>
      <c r="B151" s="1" t="s">
        <v>1865</v>
      </c>
      <c r="C151" s="28" t="s">
        <v>2235</v>
      </c>
      <c r="D151" s="1" t="s">
        <v>13</v>
      </c>
      <c r="E151" s="1" t="s">
        <v>10</v>
      </c>
      <c r="F151" s="1" t="s">
        <v>2390</v>
      </c>
      <c r="G151" s="241" t="str">
        <f t="shared" si="2"/>
        <v>20202.5</v>
      </c>
      <c r="H151" s="168">
        <v>20</v>
      </c>
      <c r="I151" s="168">
        <v>20</v>
      </c>
      <c r="J151" s="168">
        <v>2.5</v>
      </c>
      <c r="K151" s="168">
        <v>360</v>
      </c>
      <c r="L151" s="1"/>
    </row>
    <row r="152" spans="1:12" hidden="1">
      <c r="A152" s="30">
        <v>156</v>
      </c>
      <c r="B152" s="1" t="s">
        <v>1866</v>
      </c>
      <c r="C152" s="28" t="s">
        <v>2235</v>
      </c>
      <c r="D152" s="1" t="s">
        <v>13</v>
      </c>
      <c r="E152" s="1" t="s">
        <v>10</v>
      </c>
      <c r="F152" s="1" t="s">
        <v>2391</v>
      </c>
      <c r="G152" s="241" t="str">
        <f t="shared" si="2"/>
        <v>20205</v>
      </c>
      <c r="H152" s="168">
        <v>20</v>
      </c>
      <c r="I152" s="168">
        <v>20</v>
      </c>
      <c r="J152" s="168">
        <v>5</v>
      </c>
      <c r="K152" s="168">
        <v>180</v>
      </c>
      <c r="L152" s="1"/>
    </row>
    <row r="153" spans="1:12" hidden="1">
      <c r="A153" s="30">
        <v>157</v>
      </c>
      <c r="B153" s="1" t="s">
        <v>1867</v>
      </c>
      <c r="C153" s="28" t="s">
        <v>2235</v>
      </c>
      <c r="D153" s="1" t="s">
        <v>13</v>
      </c>
      <c r="E153" s="1" t="s">
        <v>10</v>
      </c>
      <c r="F153" s="1" t="s">
        <v>2392</v>
      </c>
      <c r="G153" s="241" t="str">
        <f t="shared" si="2"/>
        <v>2052.5</v>
      </c>
      <c r="H153" s="168">
        <v>20</v>
      </c>
      <c r="I153" s="168">
        <v>5</v>
      </c>
      <c r="J153" s="168">
        <v>2.5</v>
      </c>
      <c r="K153" s="168">
        <v>1440</v>
      </c>
      <c r="L153" s="1"/>
    </row>
    <row r="154" spans="1:12" hidden="1">
      <c r="A154" s="30">
        <v>158</v>
      </c>
      <c r="B154" s="1" t="s">
        <v>1868</v>
      </c>
      <c r="C154" s="28" t="s">
        <v>2235</v>
      </c>
      <c r="D154" s="1" t="s">
        <v>13</v>
      </c>
      <c r="E154" s="1" t="s">
        <v>10</v>
      </c>
      <c r="F154" s="1" t="s">
        <v>2393</v>
      </c>
      <c r="G154" s="241" t="str">
        <f t="shared" si="2"/>
        <v>2055</v>
      </c>
      <c r="H154" s="168">
        <v>20</v>
      </c>
      <c r="I154" s="168">
        <v>5</v>
      </c>
      <c r="J154" s="168">
        <v>5</v>
      </c>
      <c r="K154" s="168">
        <v>720</v>
      </c>
      <c r="L154" s="1"/>
    </row>
    <row r="155" spans="1:12" hidden="1">
      <c r="A155" s="30">
        <v>159</v>
      </c>
      <c r="B155" s="1" t="s">
        <v>1869</v>
      </c>
      <c r="C155" s="28" t="s">
        <v>2235</v>
      </c>
      <c r="D155" s="1" t="s">
        <v>13</v>
      </c>
      <c r="E155" s="1" t="s">
        <v>10</v>
      </c>
      <c r="F155" s="1" t="s">
        <v>2394</v>
      </c>
      <c r="G155" s="241" t="str">
        <f t="shared" si="2"/>
        <v>2585</v>
      </c>
      <c r="H155" s="168">
        <v>25</v>
      </c>
      <c r="I155" s="168">
        <v>8</v>
      </c>
      <c r="J155" s="168">
        <v>5</v>
      </c>
      <c r="K155" s="168">
        <v>360</v>
      </c>
      <c r="L155" s="1"/>
    </row>
    <row r="156" spans="1:12" hidden="1">
      <c r="A156" s="30">
        <v>160</v>
      </c>
      <c r="B156" s="1" t="s">
        <v>1870</v>
      </c>
      <c r="C156" s="28" t="s">
        <v>2235</v>
      </c>
      <c r="D156" s="1" t="s">
        <v>13</v>
      </c>
      <c r="E156" s="1" t="s">
        <v>10</v>
      </c>
      <c r="F156" s="1" t="s">
        <v>2395</v>
      </c>
      <c r="G156" s="241" t="str">
        <f t="shared" si="2"/>
        <v>30302.5</v>
      </c>
      <c r="H156" s="168">
        <v>30</v>
      </c>
      <c r="I156" s="168">
        <v>30</v>
      </c>
      <c r="J156" s="168">
        <v>2.5</v>
      </c>
      <c r="K156" s="168">
        <v>160</v>
      </c>
      <c r="L156" s="1"/>
    </row>
    <row r="157" spans="1:12" hidden="1">
      <c r="A157" s="30">
        <v>161</v>
      </c>
      <c r="B157" s="1" t="s">
        <v>1871</v>
      </c>
      <c r="C157" s="28" t="s">
        <v>2235</v>
      </c>
      <c r="D157" s="1" t="s">
        <v>13</v>
      </c>
      <c r="E157" s="1" t="s">
        <v>10</v>
      </c>
      <c r="F157" s="1" t="s">
        <v>2396</v>
      </c>
      <c r="G157" s="241" t="str">
        <f t="shared" si="2"/>
        <v>40402.5</v>
      </c>
      <c r="H157" s="168">
        <v>40</v>
      </c>
      <c r="I157" s="168">
        <v>40</v>
      </c>
      <c r="J157" s="168">
        <v>2.5</v>
      </c>
      <c r="K157" s="168">
        <v>80</v>
      </c>
      <c r="L157" s="1"/>
    </row>
    <row r="158" spans="1:12" hidden="1">
      <c r="A158" s="30">
        <v>162</v>
      </c>
      <c r="B158" s="1" t="s">
        <v>1872</v>
      </c>
      <c r="C158" s="28" t="s">
        <v>2235</v>
      </c>
      <c r="D158" s="1" t="s">
        <v>13</v>
      </c>
      <c r="E158" s="1" t="s">
        <v>10</v>
      </c>
      <c r="F158" s="1" t="s">
        <v>2397</v>
      </c>
      <c r="G158" s="241" t="str">
        <f t="shared" si="2"/>
        <v>50.328.54</v>
      </c>
      <c r="H158" s="168">
        <v>50.3</v>
      </c>
      <c r="I158" s="168">
        <v>28.5</v>
      </c>
      <c r="J158" s="168">
        <v>4</v>
      </c>
      <c r="K158" s="168">
        <v>30</v>
      </c>
      <c r="L158" s="1"/>
    </row>
    <row r="159" spans="1:12" hidden="1">
      <c r="A159" s="30">
        <v>163</v>
      </c>
      <c r="B159" s="1" t="s">
        <v>1873</v>
      </c>
      <c r="C159" s="28" t="s">
        <v>2235</v>
      </c>
      <c r="D159" s="1" t="s">
        <v>13</v>
      </c>
      <c r="E159" s="1" t="s">
        <v>10</v>
      </c>
      <c r="F159" s="1" t="s">
        <v>2398</v>
      </c>
      <c r="G159" s="241" t="str">
        <f t="shared" si="2"/>
        <v>50502.5</v>
      </c>
      <c r="H159" s="168">
        <v>50</v>
      </c>
      <c r="I159" s="168">
        <v>50</v>
      </c>
      <c r="J159" s="168">
        <v>2.5</v>
      </c>
      <c r="K159" s="168">
        <v>40</v>
      </c>
      <c r="L159" s="1"/>
    </row>
    <row r="160" spans="1:12" hidden="1">
      <c r="A160" s="30">
        <v>164</v>
      </c>
      <c r="B160" s="1" t="s">
        <v>1874</v>
      </c>
      <c r="C160" s="28" t="s">
        <v>2235</v>
      </c>
      <c r="D160" s="1" t="s">
        <v>18</v>
      </c>
      <c r="E160" s="1" t="s">
        <v>10</v>
      </c>
      <c r="F160" s="1" t="s">
        <v>2399</v>
      </c>
      <c r="G160" s="241" t="str">
        <f t="shared" si="2"/>
        <v>60302</v>
      </c>
      <c r="H160" s="168">
        <v>60</v>
      </c>
      <c r="I160" s="168">
        <v>30</v>
      </c>
      <c r="J160" s="168">
        <v>2</v>
      </c>
      <c r="K160" s="168">
        <v>100</v>
      </c>
      <c r="L160" s="1"/>
    </row>
    <row r="161" spans="1:12" hidden="1">
      <c r="A161" s="30">
        <v>165</v>
      </c>
      <c r="B161" s="1" t="s">
        <v>1875</v>
      </c>
      <c r="C161" s="28" t="s">
        <v>2235</v>
      </c>
      <c r="D161" s="1" t="s">
        <v>13</v>
      </c>
      <c r="E161" s="1" t="s">
        <v>10</v>
      </c>
      <c r="F161" s="1" t="s">
        <v>2400</v>
      </c>
      <c r="G161" s="241" t="str">
        <f t="shared" si="2"/>
        <v>60303</v>
      </c>
      <c r="H161" s="168">
        <v>60</v>
      </c>
      <c r="I161" s="168">
        <v>30</v>
      </c>
      <c r="J161" s="168">
        <v>3</v>
      </c>
      <c r="K161" s="168">
        <v>33</v>
      </c>
      <c r="L161" s="1"/>
    </row>
    <row r="162" spans="1:12" hidden="1">
      <c r="A162" s="30">
        <v>166</v>
      </c>
      <c r="B162" s="1" t="s">
        <v>1876</v>
      </c>
      <c r="C162" s="28" t="s">
        <v>2235</v>
      </c>
      <c r="D162" s="1" t="s">
        <v>18</v>
      </c>
      <c r="E162" s="1" t="s">
        <v>10</v>
      </c>
      <c r="F162" s="1" t="s">
        <v>2401</v>
      </c>
      <c r="G162" s="241" t="str">
        <f t="shared" si="2"/>
        <v>60402</v>
      </c>
      <c r="H162" s="168">
        <v>60</v>
      </c>
      <c r="I162" s="168">
        <v>40</v>
      </c>
      <c r="J162" s="168">
        <v>2</v>
      </c>
      <c r="K162" s="168">
        <v>50</v>
      </c>
      <c r="L162" s="1"/>
    </row>
    <row r="163" spans="1:12" hidden="1">
      <c r="A163" s="30">
        <v>167</v>
      </c>
      <c r="B163" s="1" t="s">
        <v>1877</v>
      </c>
      <c r="C163" s="28" t="s">
        <v>2235</v>
      </c>
      <c r="D163" s="1" t="s">
        <v>13</v>
      </c>
      <c r="E163" s="1" t="s">
        <v>10</v>
      </c>
      <c r="F163" s="1" t="s">
        <v>2402</v>
      </c>
      <c r="G163" s="241" t="str">
        <f t="shared" si="2"/>
        <v>60402.5</v>
      </c>
      <c r="H163" s="168">
        <v>60</v>
      </c>
      <c r="I163" s="168">
        <v>40</v>
      </c>
      <c r="J163" s="168">
        <v>2.5</v>
      </c>
      <c r="K163" s="168">
        <v>40</v>
      </c>
      <c r="L163" s="1"/>
    </row>
    <row r="164" spans="1:12" hidden="1">
      <c r="A164" s="30">
        <v>168</v>
      </c>
      <c r="B164" s="1" t="s">
        <v>1878</v>
      </c>
      <c r="C164" s="28" t="s">
        <v>2235</v>
      </c>
      <c r="D164" s="1" t="s">
        <v>13</v>
      </c>
      <c r="E164" s="1" t="s">
        <v>10</v>
      </c>
      <c r="F164" s="1" t="s">
        <v>2403</v>
      </c>
      <c r="G164" s="241" t="str">
        <f t="shared" si="2"/>
        <v>60403</v>
      </c>
      <c r="H164" s="168">
        <v>60</v>
      </c>
      <c r="I164" s="168">
        <v>40</v>
      </c>
      <c r="J164" s="168">
        <v>3</v>
      </c>
      <c r="K164" s="168">
        <v>33</v>
      </c>
      <c r="L164" s="1"/>
    </row>
    <row r="165" spans="1:12" hidden="1">
      <c r="A165" s="188">
        <v>169</v>
      </c>
      <c r="B165" s="189" t="s">
        <v>1879</v>
      </c>
      <c r="C165" s="190" t="s">
        <v>2235</v>
      </c>
      <c r="D165" s="189" t="s">
        <v>18</v>
      </c>
      <c r="E165" s="189" t="s">
        <v>10</v>
      </c>
      <c r="F165" s="189" t="s">
        <v>2404</v>
      </c>
      <c r="G165" s="241" t="str">
        <f t="shared" si="2"/>
        <v>60602</v>
      </c>
      <c r="H165" s="191">
        <v>60</v>
      </c>
      <c r="I165" s="191">
        <v>60</v>
      </c>
      <c r="J165" s="191">
        <v>2</v>
      </c>
      <c r="K165" s="191">
        <v>50</v>
      </c>
      <c r="L165" s="189"/>
    </row>
    <row r="166" spans="1:12" s="196" customFormat="1" ht="15.75" hidden="1" thickBot="1">
      <c r="A166" s="192">
        <v>170</v>
      </c>
      <c r="B166" s="193" t="s">
        <v>1880</v>
      </c>
      <c r="C166" s="194" t="s">
        <v>2235</v>
      </c>
      <c r="D166" s="193" t="s">
        <v>13</v>
      </c>
      <c r="E166" s="193" t="s">
        <v>10</v>
      </c>
      <c r="F166" s="193" t="s">
        <v>2405</v>
      </c>
      <c r="G166" s="241" t="str">
        <f t="shared" si="2"/>
        <v>60602.5</v>
      </c>
      <c r="H166" s="195">
        <v>60</v>
      </c>
      <c r="I166" s="195">
        <v>60</v>
      </c>
      <c r="J166" s="195">
        <v>2.5</v>
      </c>
      <c r="K166" s="195">
        <v>40</v>
      </c>
      <c r="L166" s="193"/>
    </row>
    <row r="167" spans="1:12" hidden="1">
      <c r="A167" s="184">
        <v>171</v>
      </c>
      <c r="B167" s="185" t="s">
        <v>1881</v>
      </c>
      <c r="C167" s="186" t="s">
        <v>2235</v>
      </c>
      <c r="D167" s="185" t="s">
        <v>18</v>
      </c>
      <c r="E167" s="185" t="s">
        <v>10</v>
      </c>
      <c r="F167" s="185" t="s">
        <v>2406</v>
      </c>
      <c r="G167" s="241" t="str">
        <f t="shared" si="2"/>
        <v>62.57.52</v>
      </c>
      <c r="H167" s="187">
        <v>62.5</v>
      </c>
      <c r="I167" s="187">
        <v>7.5</v>
      </c>
      <c r="J167" s="187">
        <v>2</v>
      </c>
      <c r="K167" s="187">
        <v>30</v>
      </c>
      <c r="L167" s="185"/>
    </row>
    <row r="168" spans="1:12" hidden="1">
      <c r="A168" s="30">
        <v>172</v>
      </c>
      <c r="B168" s="1" t="s">
        <v>1882</v>
      </c>
      <c r="C168" s="28" t="s">
        <v>2235</v>
      </c>
      <c r="D168" s="1" t="s">
        <v>13</v>
      </c>
      <c r="E168" s="1" t="s">
        <v>10</v>
      </c>
      <c r="F168" s="1" t="s">
        <v>2407</v>
      </c>
      <c r="G168" s="241" t="str">
        <f t="shared" si="2"/>
        <v>72.828.54</v>
      </c>
      <c r="H168" s="168">
        <v>72.8</v>
      </c>
      <c r="I168" s="168">
        <v>28.5</v>
      </c>
      <c r="J168" s="168">
        <v>4</v>
      </c>
      <c r="K168" s="168">
        <v>30</v>
      </c>
      <c r="L168" s="1"/>
    </row>
    <row r="169" spans="1:12" hidden="1">
      <c r="A169" s="30">
        <v>173</v>
      </c>
      <c r="B169" s="1" t="s">
        <v>1883</v>
      </c>
      <c r="C169" s="28" t="s">
        <v>2235</v>
      </c>
      <c r="D169" s="1" t="s">
        <v>13</v>
      </c>
      <c r="E169" s="1" t="s">
        <v>10</v>
      </c>
      <c r="F169" s="1" t="s">
        <v>2408</v>
      </c>
      <c r="G169" s="241" t="str">
        <f t="shared" si="2"/>
        <v>75.428.54</v>
      </c>
      <c r="H169" s="168">
        <v>75.400000000000006</v>
      </c>
      <c r="I169" s="168">
        <v>28.5</v>
      </c>
      <c r="J169" s="168">
        <v>4</v>
      </c>
      <c r="K169" s="168">
        <v>30</v>
      </c>
      <c r="L169" s="1"/>
    </row>
    <row r="170" spans="1:12" hidden="1">
      <c r="A170" s="30">
        <v>174</v>
      </c>
      <c r="B170" s="1" t="s">
        <v>1884</v>
      </c>
      <c r="C170" s="28" t="s">
        <v>2235</v>
      </c>
      <c r="D170" s="1" t="s">
        <v>13</v>
      </c>
      <c r="E170" s="1" t="s">
        <v>10</v>
      </c>
      <c r="F170" s="1" t="s">
        <v>2409</v>
      </c>
      <c r="G170" s="241" t="str">
        <f t="shared" si="2"/>
        <v>80403</v>
      </c>
      <c r="H170" s="168">
        <v>80</v>
      </c>
      <c r="I170" s="168">
        <v>40</v>
      </c>
      <c r="J170" s="168">
        <v>3</v>
      </c>
      <c r="K170" s="168">
        <v>34</v>
      </c>
      <c r="L170" s="1"/>
    </row>
    <row r="171" spans="1:12" hidden="1">
      <c r="A171" s="30">
        <v>175</v>
      </c>
      <c r="B171" s="1" t="s">
        <v>1885</v>
      </c>
      <c r="C171" s="28" t="s">
        <v>2235</v>
      </c>
      <c r="D171" s="1" t="s">
        <v>13</v>
      </c>
      <c r="E171" s="1" t="s">
        <v>10</v>
      </c>
      <c r="F171" s="1" t="s">
        <v>2410</v>
      </c>
      <c r="G171" s="241" t="str">
        <f t="shared" si="2"/>
        <v>88.528.54</v>
      </c>
      <c r="H171" s="168">
        <v>88.5</v>
      </c>
      <c r="I171" s="168">
        <v>28.5</v>
      </c>
      <c r="J171" s="168">
        <v>4</v>
      </c>
      <c r="K171" s="168">
        <v>30</v>
      </c>
      <c r="L171" s="1"/>
    </row>
    <row r="172" spans="1:12" hidden="1">
      <c r="A172" s="30">
        <v>176</v>
      </c>
      <c r="B172" s="1" t="s">
        <v>1886</v>
      </c>
      <c r="C172" s="28" t="s">
        <v>2235</v>
      </c>
      <c r="D172" s="1" t="s">
        <v>13</v>
      </c>
      <c r="E172" s="1" t="s">
        <v>10</v>
      </c>
      <c r="F172" s="1" t="s">
        <v>2411</v>
      </c>
      <c r="G172" s="241" t="str">
        <f t="shared" si="2"/>
        <v>90602.5</v>
      </c>
      <c r="H172" s="168">
        <v>90</v>
      </c>
      <c r="I172" s="168">
        <v>60</v>
      </c>
      <c r="J172" s="168">
        <v>2.5</v>
      </c>
      <c r="K172" s="168">
        <v>25</v>
      </c>
      <c r="L172" s="1"/>
    </row>
    <row r="173" spans="1:12" hidden="1">
      <c r="A173" s="30">
        <v>177</v>
      </c>
      <c r="B173" s="1" t="s">
        <v>1887</v>
      </c>
      <c r="C173" s="28" t="s">
        <v>2235</v>
      </c>
      <c r="D173" s="1" t="s">
        <v>13</v>
      </c>
      <c r="E173" s="1" t="s">
        <v>10</v>
      </c>
      <c r="F173" s="1" t="s">
        <v>2412</v>
      </c>
      <c r="G173" s="241" t="str">
        <f t="shared" si="2"/>
        <v>90603</v>
      </c>
      <c r="H173" s="168">
        <v>90</v>
      </c>
      <c r="I173" s="168">
        <v>60</v>
      </c>
      <c r="J173" s="168">
        <v>3</v>
      </c>
      <c r="K173" s="168">
        <v>20</v>
      </c>
      <c r="L173" s="1"/>
    </row>
    <row r="174" spans="1:12" hidden="1">
      <c r="A174" s="30">
        <v>178</v>
      </c>
      <c r="B174" s="1" t="s">
        <v>1888</v>
      </c>
      <c r="C174" s="28" t="s">
        <v>2235</v>
      </c>
      <c r="D174" s="1" t="s">
        <v>13</v>
      </c>
      <c r="E174" s="1" t="s">
        <v>10</v>
      </c>
      <c r="F174" s="1" t="s">
        <v>2413</v>
      </c>
      <c r="G174" s="241" t="str">
        <f t="shared" si="2"/>
        <v>95.328.54</v>
      </c>
      <c r="H174" s="168">
        <v>95.3</v>
      </c>
      <c r="I174" s="168">
        <v>28.5</v>
      </c>
      <c r="J174" s="168">
        <v>4</v>
      </c>
      <c r="K174" s="168">
        <v>30</v>
      </c>
      <c r="L174" s="1"/>
    </row>
    <row r="175" spans="1:12" hidden="1">
      <c r="A175" s="30">
        <v>179</v>
      </c>
      <c r="B175" s="1" t="s">
        <v>1889</v>
      </c>
      <c r="C175" s="28" t="s">
        <v>2235</v>
      </c>
      <c r="D175" s="1" t="s">
        <v>13</v>
      </c>
      <c r="E175" s="1" t="s">
        <v>10</v>
      </c>
      <c r="F175" s="1" t="s">
        <v>2414</v>
      </c>
      <c r="G175" s="241" t="str">
        <f t="shared" si="2"/>
        <v>60303</v>
      </c>
      <c r="H175" s="168">
        <v>60</v>
      </c>
      <c r="I175" s="168">
        <v>30</v>
      </c>
      <c r="J175" s="168">
        <v>3</v>
      </c>
      <c r="K175" s="168">
        <v>66</v>
      </c>
      <c r="L175" s="1"/>
    </row>
    <row r="176" spans="1:12" hidden="1">
      <c r="A176" s="30">
        <v>180</v>
      </c>
      <c r="B176" s="1" t="s">
        <v>1890</v>
      </c>
      <c r="C176" s="28" t="s">
        <v>2235</v>
      </c>
      <c r="D176" s="1" t="s">
        <v>13</v>
      </c>
      <c r="E176" s="1" t="s">
        <v>10</v>
      </c>
      <c r="F176" s="1" t="s">
        <v>2415</v>
      </c>
      <c r="G176" s="241" t="str">
        <f t="shared" si="2"/>
        <v>60403</v>
      </c>
      <c r="H176" s="168">
        <v>60</v>
      </c>
      <c r="I176" s="168">
        <v>40</v>
      </c>
      <c r="J176" s="168">
        <v>3</v>
      </c>
      <c r="K176" s="168">
        <v>33</v>
      </c>
      <c r="L176" s="1"/>
    </row>
    <row r="177" spans="1:12" hidden="1">
      <c r="A177" s="30">
        <v>181</v>
      </c>
      <c r="B177" s="1" t="s">
        <v>1891</v>
      </c>
      <c r="C177" s="28" t="s">
        <v>2235</v>
      </c>
      <c r="D177" s="1" t="s">
        <v>18</v>
      </c>
      <c r="E177" s="1" t="s">
        <v>10</v>
      </c>
      <c r="F177" s="1" t="s">
        <v>2416</v>
      </c>
      <c r="G177" s="241" t="str">
        <f t="shared" si="2"/>
        <v>20202</v>
      </c>
      <c r="H177" s="168">
        <v>20</v>
      </c>
      <c r="I177" s="168">
        <v>20</v>
      </c>
      <c r="J177" s="168">
        <v>2</v>
      </c>
      <c r="K177" s="168">
        <v>450</v>
      </c>
      <c r="L177" s="1"/>
    </row>
    <row r="178" spans="1:12" hidden="1">
      <c r="A178" s="30">
        <v>182</v>
      </c>
      <c r="B178" s="1" t="s">
        <v>1892</v>
      </c>
      <c r="C178" s="28" t="s">
        <v>2235</v>
      </c>
      <c r="D178" s="1" t="s">
        <v>18</v>
      </c>
      <c r="E178" s="1" t="s">
        <v>10</v>
      </c>
      <c r="F178" s="1" t="s">
        <v>2417</v>
      </c>
      <c r="G178" s="241" t="str">
        <f t="shared" si="2"/>
        <v>40202</v>
      </c>
      <c r="H178" s="168">
        <v>40</v>
      </c>
      <c r="I178" s="168">
        <v>20</v>
      </c>
      <c r="J178" s="168">
        <v>2</v>
      </c>
      <c r="K178" s="168">
        <v>200</v>
      </c>
      <c r="L178" s="1"/>
    </row>
    <row r="179" spans="1:12" hidden="1">
      <c r="A179" s="30">
        <v>183</v>
      </c>
      <c r="B179" s="1" t="s">
        <v>1893</v>
      </c>
      <c r="C179" s="28" t="s">
        <v>2235</v>
      </c>
      <c r="D179" s="1" t="s">
        <v>18</v>
      </c>
      <c r="E179" s="1" t="s">
        <v>10</v>
      </c>
      <c r="F179" s="1" t="s">
        <v>2418</v>
      </c>
      <c r="G179" s="241" t="str">
        <f t="shared" si="2"/>
        <v>40402</v>
      </c>
      <c r="H179" s="168">
        <v>40</v>
      </c>
      <c r="I179" s="168">
        <v>40</v>
      </c>
      <c r="J179" s="168">
        <v>2</v>
      </c>
      <c r="K179" s="168">
        <v>100</v>
      </c>
      <c r="L179" s="1"/>
    </row>
    <row r="180" spans="1:12" hidden="1">
      <c r="A180" s="30">
        <v>184</v>
      </c>
      <c r="B180" s="1" t="s">
        <v>1894</v>
      </c>
      <c r="C180" s="28" t="s">
        <v>2235</v>
      </c>
      <c r="D180" s="1" t="s">
        <v>13</v>
      </c>
      <c r="E180" s="1" t="s">
        <v>10</v>
      </c>
      <c r="F180" s="1" t="s">
        <v>2419</v>
      </c>
      <c r="G180" s="241" t="str">
        <f t="shared" si="2"/>
        <v>40402.5</v>
      </c>
      <c r="H180" s="168">
        <v>40</v>
      </c>
      <c r="I180" s="168">
        <v>40</v>
      </c>
      <c r="J180" s="168">
        <v>2.5</v>
      </c>
      <c r="K180" s="168">
        <v>80</v>
      </c>
      <c r="L180" s="1"/>
    </row>
    <row r="181" spans="1:12" hidden="1">
      <c r="A181" s="30">
        <v>185</v>
      </c>
      <c r="B181" s="1" t="s">
        <v>1895</v>
      </c>
      <c r="C181" s="28" t="s">
        <v>2235</v>
      </c>
      <c r="D181" s="1" t="s">
        <v>13</v>
      </c>
      <c r="E181" s="1" t="s">
        <v>10</v>
      </c>
      <c r="F181" s="1" t="s">
        <v>2420</v>
      </c>
      <c r="G181" s="241" t="str">
        <f t="shared" si="2"/>
        <v>50502.5</v>
      </c>
      <c r="H181" s="168">
        <v>50</v>
      </c>
      <c r="I181" s="168">
        <v>50</v>
      </c>
      <c r="J181" s="168">
        <v>2.5</v>
      </c>
      <c r="K181" s="168">
        <v>40</v>
      </c>
      <c r="L181" s="1"/>
    </row>
    <row r="182" spans="1:12" hidden="1">
      <c r="A182" s="30">
        <v>186</v>
      </c>
      <c r="B182" s="1" t="s">
        <v>1896</v>
      </c>
      <c r="C182" s="28" t="s">
        <v>2235</v>
      </c>
      <c r="D182" s="1" t="s">
        <v>18</v>
      </c>
      <c r="E182" s="1" t="s">
        <v>10</v>
      </c>
      <c r="F182" s="1" t="s">
        <v>2421</v>
      </c>
      <c r="G182" s="241" t="str">
        <f t="shared" si="2"/>
        <v>60402</v>
      </c>
      <c r="H182" s="168">
        <v>60</v>
      </c>
      <c r="I182" s="168">
        <v>40</v>
      </c>
      <c r="J182" s="168">
        <v>2</v>
      </c>
      <c r="K182" s="168">
        <v>50</v>
      </c>
      <c r="L182" s="1"/>
    </row>
    <row r="183" spans="1:12" s="237" customFormat="1" ht="15.75" hidden="1" thickBot="1">
      <c r="A183" s="233">
        <v>187</v>
      </c>
      <c r="B183" s="234" t="s">
        <v>1897</v>
      </c>
      <c r="C183" s="235" t="s">
        <v>2235</v>
      </c>
      <c r="D183" s="1" t="s">
        <v>13</v>
      </c>
      <c r="E183" s="234" t="s">
        <v>10</v>
      </c>
      <c r="F183" s="234" t="s">
        <v>2422</v>
      </c>
      <c r="G183" s="241" t="str">
        <f t="shared" si="2"/>
        <v>60402.5</v>
      </c>
      <c r="H183" s="236">
        <v>60</v>
      </c>
      <c r="I183" s="236">
        <v>40</v>
      </c>
      <c r="J183" s="236">
        <v>2.5</v>
      </c>
      <c r="K183" s="236">
        <v>40</v>
      </c>
      <c r="L183" s="234"/>
    </row>
    <row r="184" spans="1:12" hidden="1">
      <c r="A184" s="184">
        <v>188</v>
      </c>
      <c r="B184" s="185" t="s">
        <v>1898</v>
      </c>
      <c r="C184" s="186" t="s">
        <v>2235</v>
      </c>
      <c r="D184" s="1" t="s">
        <v>13</v>
      </c>
      <c r="E184" s="185" t="s">
        <v>10</v>
      </c>
      <c r="F184" s="185" t="s">
        <v>2423</v>
      </c>
      <c r="G184" s="241" t="str">
        <f t="shared" si="2"/>
        <v>60602.5</v>
      </c>
      <c r="H184" s="187">
        <v>60</v>
      </c>
      <c r="I184" s="187">
        <v>60</v>
      </c>
      <c r="J184" s="187">
        <v>2.5</v>
      </c>
      <c r="K184" s="187">
        <v>40</v>
      </c>
      <c r="L184" s="185"/>
    </row>
    <row r="185" spans="1:12" hidden="1">
      <c r="A185" s="30">
        <v>189</v>
      </c>
      <c r="B185" s="1" t="s">
        <v>1899</v>
      </c>
      <c r="C185" s="28" t="s">
        <v>2235</v>
      </c>
      <c r="D185" s="1" t="s">
        <v>18</v>
      </c>
      <c r="E185" s="1" t="s">
        <v>10</v>
      </c>
      <c r="F185" s="1" t="s">
        <v>2424</v>
      </c>
      <c r="G185" s="241" t="str">
        <f t="shared" si="2"/>
        <v>40402</v>
      </c>
      <c r="H185" s="168">
        <v>40</v>
      </c>
      <c r="I185" s="168">
        <v>40</v>
      </c>
      <c r="J185" s="168">
        <v>2</v>
      </c>
      <c r="K185" s="168">
        <v>100</v>
      </c>
      <c r="L185" s="1"/>
    </row>
    <row r="186" spans="1:12" hidden="1">
      <c r="A186" s="30">
        <v>190</v>
      </c>
      <c r="B186" s="1" t="s">
        <v>1900</v>
      </c>
      <c r="C186" s="28" t="s">
        <v>2235</v>
      </c>
      <c r="D186" s="1" t="s">
        <v>13</v>
      </c>
      <c r="E186" s="1" t="s">
        <v>10</v>
      </c>
      <c r="F186" s="1" t="s">
        <v>2425</v>
      </c>
      <c r="G186" s="241" t="str">
        <f t="shared" si="2"/>
        <v>30302.5</v>
      </c>
      <c r="H186" s="168">
        <v>30</v>
      </c>
      <c r="I186" s="168">
        <v>30</v>
      </c>
      <c r="J186" s="168">
        <v>2.5</v>
      </c>
      <c r="K186" s="168">
        <v>160</v>
      </c>
      <c r="L186" s="1"/>
    </row>
    <row r="187" spans="1:12" hidden="1">
      <c r="A187" s="30">
        <v>191</v>
      </c>
      <c r="B187" s="1" t="s">
        <v>1901</v>
      </c>
      <c r="C187" s="28" t="s">
        <v>2235</v>
      </c>
      <c r="D187" s="1" t="s">
        <v>13</v>
      </c>
      <c r="E187" s="1" t="s">
        <v>10</v>
      </c>
      <c r="F187" s="1" t="s">
        <v>2426</v>
      </c>
      <c r="G187" s="241" t="str">
        <f t="shared" si="2"/>
        <v>40402.5</v>
      </c>
      <c r="H187" s="168">
        <v>40</v>
      </c>
      <c r="I187" s="168">
        <v>40</v>
      </c>
      <c r="J187" s="168">
        <v>2.5</v>
      </c>
      <c r="K187" s="168">
        <v>80</v>
      </c>
      <c r="L187" s="1"/>
    </row>
    <row r="188" spans="1:12" hidden="1">
      <c r="A188" s="30">
        <v>192</v>
      </c>
      <c r="B188" s="1" t="s">
        <v>1902</v>
      </c>
      <c r="C188" s="28" t="s">
        <v>2235</v>
      </c>
      <c r="D188" s="1" t="s">
        <v>18</v>
      </c>
      <c r="E188" s="1" t="s">
        <v>10</v>
      </c>
      <c r="F188" s="1" t="s">
        <v>2427</v>
      </c>
      <c r="G188" s="241" t="str">
        <f t="shared" si="2"/>
        <v>40402</v>
      </c>
      <c r="H188" s="168">
        <v>40</v>
      </c>
      <c r="I188" s="168">
        <v>40</v>
      </c>
      <c r="J188" s="168">
        <v>2</v>
      </c>
      <c r="K188" s="168">
        <v>100</v>
      </c>
      <c r="L188" s="1"/>
    </row>
    <row r="189" spans="1:12" hidden="1">
      <c r="A189" s="30">
        <v>193</v>
      </c>
      <c r="B189" s="1" t="s">
        <v>1903</v>
      </c>
      <c r="C189" s="28" t="s">
        <v>2235</v>
      </c>
      <c r="D189" s="1" t="s">
        <v>18</v>
      </c>
      <c r="E189" s="1" t="s">
        <v>10</v>
      </c>
      <c r="F189" s="1" t="s">
        <v>2428</v>
      </c>
      <c r="G189" s="241" t="str">
        <f t="shared" si="2"/>
        <v>15152</v>
      </c>
      <c r="H189" s="168">
        <v>15</v>
      </c>
      <c r="I189" s="168">
        <v>15</v>
      </c>
      <c r="J189" s="168">
        <v>2</v>
      </c>
      <c r="K189" s="168">
        <v>800</v>
      </c>
      <c r="L189" s="1"/>
    </row>
    <row r="190" spans="1:12" hidden="1">
      <c r="A190" s="30">
        <v>194</v>
      </c>
      <c r="B190" s="1" t="s">
        <v>1904</v>
      </c>
      <c r="C190" s="28" t="s">
        <v>2235</v>
      </c>
      <c r="D190" s="1" t="s">
        <v>13</v>
      </c>
      <c r="E190" s="1" t="s">
        <v>10</v>
      </c>
      <c r="F190" s="1" t="s">
        <v>2429</v>
      </c>
      <c r="G190" s="241" t="str">
        <f t="shared" ref="G190:G253" si="3">H190&amp;I190&amp;J190</f>
        <v>15152.5</v>
      </c>
      <c r="H190" s="168">
        <v>15</v>
      </c>
      <c r="I190" s="168">
        <v>15</v>
      </c>
      <c r="J190" s="168">
        <v>2.5</v>
      </c>
      <c r="K190" s="168">
        <v>640</v>
      </c>
      <c r="L190" s="1"/>
    </row>
    <row r="191" spans="1:12" hidden="1">
      <c r="A191" s="30">
        <v>195</v>
      </c>
      <c r="B191" s="1" t="s">
        <v>1905</v>
      </c>
      <c r="C191" s="28" t="s">
        <v>2235</v>
      </c>
      <c r="D191" s="1" t="s">
        <v>13</v>
      </c>
      <c r="E191" s="1" t="s">
        <v>10</v>
      </c>
      <c r="F191" s="1" t="s">
        <v>2430</v>
      </c>
      <c r="G191" s="241" t="str">
        <f t="shared" si="3"/>
        <v>20205</v>
      </c>
      <c r="H191" s="168">
        <v>20</v>
      </c>
      <c r="I191" s="168">
        <v>20</v>
      </c>
      <c r="J191" s="168">
        <v>5</v>
      </c>
      <c r="K191" s="168">
        <v>180</v>
      </c>
      <c r="L191" s="1"/>
    </row>
    <row r="192" spans="1:12" hidden="1">
      <c r="A192" s="30">
        <v>196</v>
      </c>
      <c r="B192" s="1" t="s">
        <v>1906</v>
      </c>
      <c r="C192" s="28" t="s">
        <v>2235</v>
      </c>
      <c r="D192" s="1" t="s">
        <v>13</v>
      </c>
      <c r="E192" s="1" t="s">
        <v>10</v>
      </c>
      <c r="F192" s="1" t="s">
        <v>2431</v>
      </c>
      <c r="G192" s="241" t="str">
        <f t="shared" si="3"/>
        <v>2055</v>
      </c>
      <c r="H192" s="168">
        <v>20</v>
      </c>
      <c r="I192" s="168">
        <v>5</v>
      </c>
      <c r="J192" s="168">
        <v>5</v>
      </c>
      <c r="K192" s="168">
        <v>720</v>
      </c>
      <c r="L192" s="1"/>
    </row>
    <row r="193" spans="1:12" hidden="1">
      <c r="A193" s="30">
        <v>197</v>
      </c>
      <c r="B193" s="1" t="s">
        <v>1907</v>
      </c>
      <c r="C193" s="28" t="s">
        <v>2235</v>
      </c>
      <c r="D193" s="1" t="s">
        <v>13</v>
      </c>
      <c r="E193" s="1" t="s">
        <v>10</v>
      </c>
      <c r="F193" s="1" t="s">
        <v>2432</v>
      </c>
      <c r="G193" s="241" t="str">
        <f t="shared" si="3"/>
        <v>2485</v>
      </c>
      <c r="H193" s="168">
        <v>24</v>
      </c>
      <c r="I193" s="168">
        <v>8</v>
      </c>
      <c r="J193" s="168">
        <v>5</v>
      </c>
      <c r="K193" s="168">
        <v>360</v>
      </c>
      <c r="L193" s="1"/>
    </row>
    <row r="194" spans="1:12" hidden="1">
      <c r="A194" s="30">
        <v>198</v>
      </c>
      <c r="B194" s="1" t="s">
        <v>1908</v>
      </c>
      <c r="C194" s="28" t="s">
        <v>2235</v>
      </c>
      <c r="D194" s="1" t="s">
        <v>18</v>
      </c>
      <c r="E194" s="1" t="s">
        <v>10</v>
      </c>
      <c r="F194" s="1" t="s">
        <v>2433</v>
      </c>
      <c r="G194" s="241" t="str">
        <f t="shared" si="3"/>
        <v>15152</v>
      </c>
      <c r="H194" s="168">
        <v>15</v>
      </c>
      <c r="I194" s="168">
        <v>15</v>
      </c>
      <c r="J194" s="168">
        <v>2</v>
      </c>
      <c r="K194" s="168">
        <v>800</v>
      </c>
      <c r="L194" s="1"/>
    </row>
    <row r="195" spans="1:12" hidden="1">
      <c r="A195" s="30">
        <v>199</v>
      </c>
      <c r="B195" s="1" t="s">
        <v>1909</v>
      </c>
      <c r="C195" s="28" t="s">
        <v>2235</v>
      </c>
      <c r="D195" s="1" t="s">
        <v>13</v>
      </c>
      <c r="E195" s="1" t="s">
        <v>10</v>
      </c>
      <c r="F195" s="1" t="s">
        <v>2434</v>
      </c>
      <c r="G195" s="241" t="str">
        <f t="shared" si="3"/>
        <v>15154</v>
      </c>
      <c r="H195" s="168">
        <v>15</v>
      </c>
      <c r="I195" s="168">
        <v>15</v>
      </c>
      <c r="J195" s="168">
        <v>4</v>
      </c>
      <c r="K195" s="168">
        <v>400</v>
      </c>
      <c r="L195" s="1"/>
    </row>
    <row r="196" spans="1:12" hidden="1">
      <c r="A196" s="30">
        <v>200</v>
      </c>
      <c r="B196" s="1" t="s">
        <v>1910</v>
      </c>
      <c r="C196" s="28" t="s">
        <v>2235</v>
      </c>
      <c r="D196" s="1" t="s">
        <v>13</v>
      </c>
      <c r="E196" s="1" t="s">
        <v>10</v>
      </c>
      <c r="F196" s="1" t="s">
        <v>2435</v>
      </c>
      <c r="G196" s="241" t="str">
        <f t="shared" si="3"/>
        <v>15155</v>
      </c>
      <c r="H196" s="168">
        <v>15</v>
      </c>
      <c r="I196" s="168">
        <v>15</v>
      </c>
      <c r="J196" s="168">
        <v>5</v>
      </c>
      <c r="K196" s="168">
        <v>320</v>
      </c>
      <c r="L196" s="1"/>
    </row>
    <row r="197" spans="1:12" hidden="1">
      <c r="A197" s="30">
        <v>201</v>
      </c>
      <c r="B197" s="1" t="s">
        <v>1911</v>
      </c>
      <c r="C197" s="28" t="s">
        <v>2235</v>
      </c>
      <c r="D197" s="1" t="s">
        <v>13</v>
      </c>
      <c r="E197" s="1" t="s">
        <v>10</v>
      </c>
      <c r="F197" s="1" t="s">
        <v>2436</v>
      </c>
      <c r="G197" s="241" t="str">
        <f t="shared" si="3"/>
        <v>20202.5</v>
      </c>
      <c r="H197" s="168">
        <v>20</v>
      </c>
      <c r="I197" s="168">
        <v>20</v>
      </c>
      <c r="J197" s="168">
        <v>2.5</v>
      </c>
      <c r="K197" s="168">
        <v>360</v>
      </c>
      <c r="L197" s="1"/>
    </row>
    <row r="198" spans="1:12" hidden="1">
      <c r="A198" s="30">
        <v>202</v>
      </c>
      <c r="B198" s="1" t="s">
        <v>1912</v>
      </c>
      <c r="C198" s="28" t="s">
        <v>2235</v>
      </c>
      <c r="D198" s="1" t="s">
        <v>13</v>
      </c>
      <c r="E198" s="1" t="s">
        <v>10</v>
      </c>
      <c r="F198" s="1" t="s">
        <v>2437</v>
      </c>
      <c r="G198" s="241" t="str">
        <f t="shared" si="3"/>
        <v>2055</v>
      </c>
      <c r="H198" s="168">
        <v>20</v>
      </c>
      <c r="I198" s="168">
        <v>5</v>
      </c>
      <c r="J198" s="168">
        <v>5</v>
      </c>
      <c r="K198" s="168">
        <v>684</v>
      </c>
      <c r="L198" s="1"/>
    </row>
    <row r="199" spans="1:12" hidden="1">
      <c r="A199" s="30">
        <v>203</v>
      </c>
      <c r="B199" s="1" t="s">
        <v>1913</v>
      </c>
      <c r="C199" s="28" t="s">
        <v>2235</v>
      </c>
      <c r="D199" s="1" t="s">
        <v>18</v>
      </c>
      <c r="E199" s="1" t="s">
        <v>37</v>
      </c>
      <c r="F199" s="1" t="s">
        <v>2438</v>
      </c>
      <c r="G199" s="241" t="str">
        <f t="shared" si="3"/>
        <v>106.6433</v>
      </c>
      <c r="H199" s="168">
        <v>106.6</v>
      </c>
      <c r="I199" s="168">
        <v>43</v>
      </c>
      <c r="J199" s="168">
        <v>3</v>
      </c>
      <c r="K199" s="168">
        <v>25</v>
      </c>
      <c r="L199" s="1"/>
    </row>
    <row r="200" spans="1:12" hidden="1">
      <c r="A200" s="30">
        <v>204</v>
      </c>
      <c r="B200" s="1" t="s">
        <v>1914</v>
      </c>
      <c r="C200" s="28" t="s">
        <v>2235</v>
      </c>
      <c r="D200" s="1" t="s">
        <v>18</v>
      </c>
      <c r="E200" s="1" t="s">
        <v>37</v>
      </c>
      <c r="F200" s="1" t="s">
        <v>2439</v>
      </c>
      <c r="G200" s="241" t="str">
        <f t="shared" si="3"/>
        <v>109.28283</v>
      </c>
      <c r="H200" s="168">
        <v>109.28</v>
      </c>
      <c r="I200" s="168">
        <v>28</v>
      </c>
      <c r="J200" s="168">
        <v>3</v>
      </c>
      <c r="K200" s="168">
        <v>25</v>
      </c>
      <c r="L200" s="1"/>
    </row>
    <row r="201" spans="1:12" hidden="1">
      <c r="A201" s="30">
        <v>205</v>
      </c>
      <c r="B201" s="1" t="s">
        <v>1915</v>
      </c>
      <c r="C201" s="28" t="s">
        <v>2235</v>
      </c>
      <c r="D201" s="1" t="s">
        <v>14</v>
      </c>
      <c r="E201" s="1" t="s">
        <v>1699</v>
      </c>
      <c r="F201" s="1" t="s">
        <v>2440</v>
      </c>
      <c r="G201" s="241" t="str">
        <f t="shared" si="3"/>
        <v>100203</v>
      </c>
      <c r="H201" s="168">
        <v>100</v>
      </c>
      <c r="I201" s="168">
        <v>20</v>
      </c>
      <c r="J201" s="168">
        <v>3</v>
      </c>
      <c r="K201" s="168">
        <v>60</v>
      </c>
      <c r="L201" s="1"/>
    </row>
    <row r="202" spans="1:12" hidden="1">
      <c r="A202" s="30">
        <v>206</v>
      </c>
      <c r="B202" s="1" t="s">
        <v>1916</v>
      </c>
      <c r="C202" s="28" t="s">
        <v>2235</v>
      </c>
      <c r="D202" s="1" t="s">
        <v>14</v>
      </c>
      <c r="E202" s="1" t="s">
        <v>1699</v>
      </c>
      <c r="F202" s="1" t="s">
        <v>2441</v>
      </c>
      <c r="G202" s="241" t="str">
        <f t="shared" si="3"/>
        <v>100303</v>
      </c>
      <c r="H202" s="168">
        <v>100</v>
      </c>
      <c r="I202" s="168">
        <v>30</v>
      </c>
      <c r="J202" s="168">
        <v>3</v>
      </c>
      <c r="K202" s="168">
        <v>40</v>
      </c>
      <c r="L202" s="1"/>
    </row>
    <row r="203" spans="1:12" hidden="1">
      <c r="A203" s="30">
        <v>207</v>
      </c>
      <c r="B203" s="1" t="s">
        <v>1917</v>
      </c>
      <c r="C203" s="28" t="s">
        <v>2235</v>
      </c>
      <c r="D203" s="1" t="s">
        <v>14</v>
      </c>
      <c r="E203" s="1" t="s">
        <v>1699</v>
      </c>
      <c r="F203" s="1" t="s">
        <v>2442</v>
      </c>
      <c r="G203" s="241" t="str">
        <f t="shared" si="3"/>
        <v>100303</v>
      </c>
      <c r="H203" s="168">
        <v>100</v>
      </c>
      <c r="I203" s="168">
        <v>30</v>
      </c>
      <c r="J203" s="168">
        <v>3</v>
      </c>
      <c r="K203" s="168">
        <v>6</v>
      </c>
      <c r="L203" s="1"/>
    </row>
    <row r="204" spans="1:12" hidden="1">
      <c r="A204" s="30">
        <v>208</v>
      </c>
      <c r="B204" s="1" t="s">
        <v>1918</v>
      </c>
      <c r="C204" s="28" t="s">
        <v>2235</v>
      </c>
      <c r="D204" s="1" t="s">
        <v>14</v>
      </c>
      <c r="E204" s="1" t="s">
        <v>1699</v>
      </c>
      <c r="F204" s="1" t="s">
        <v>2443</v>
      </c>
      <c r="G204" s="241" t="str">
        <f t="shared" si="3"/>
        <v>100353</v>
      </c>
      <c r="H204" s="168">
        <v>100</v>
      </c>
      <c r="I204" s="168">
        <v>35</v>
      </c>
      <c r="J204" s="168">
        <v>3</v>
      </c>
      <c r="K204" s="168">
        <v>30</v>
      </c>
      <c r="L204" s="1"/>
    </row>
    <row r="205" spans="1:12" hidden="1">
      <c r="A205" s="30">
        <v>209</v>
      </c>
      <c r="B205" s="1" t="s">
        <v>1919</v>
      </c>
      <c r="C205" s="28" t="s">
        <v>2235</v>
      </c>
      <c r="D205" s="1" t="s">
        <v>14</v>
      </c>
      <c r="E205" s="1" t="s">
        <v>1699</v>
      </c>
      <c r="F205" s="1" t="s">
        <v>2444</v>
      </c>
      <c r="G205" s="241" t="str">
        <f t="shared" si="3"/>
        <v>100354</v>
      </c>
      <c r="H205" s="168">
        <v>100</v>
      </c>
      <c r="I205" s="168">
        <v>35</v>
      </c>
      <c r="J205" s="168">
        <v>4</v>
      </c>
      <c r="K205" s="168">
        <v>20</v>
      </c>
      <c r="L205" s="1"/>
    </row>
    <row r="206" spans="1:12" hidden="1">
      <c r="A206" s="30">
        <v>210</v>
      </c>
      <c r="B206" s="1" t="s">
        <v>1920</v>
      </c>
      <c r="C206" s="28" t="s">
        <v>2235</v>
      </c>
      <c r="D206" s="1" t="s">
        <v>14</v>
      </c>
      <c r="E206" s="1" t="s">
        <v>1699</v>
      </c>
      <c r="F206" s="1" t="s">
        <v>2445</v>
      </c>
      <c r="G206" s="241" t="str">
        <f t="shared" si="3"/>
        <v>100403</v>
      </c>
      <c r="H206" s="168">
        <v>100</v>
      </c>
      <c r="I206" s="168">
        <v>40</v>
      </c>
      <c r="J206" s="168">
        <v>3</v>
      </c>
      <c r="K206" s="168">
        <v>25</v>
      </c>
      <c r="L206" s="1"/>
    </row>
    <row r="207" spans="1:12" hidden="1">
      <c r="A207" s="30">
        <v>211</v>
      </c>
      <c r="B207" s="1" t="s">
        <v>1921</v>
      </c>
      <c r="C207" s="28" t="s">
        <v>2235</v>
      </c>
      <c r="D207" s="1" t="s">
        <v>14</v>
      </c>
      <c r="E207" s="1" t="s">
        <v>1699</v>
      </c>
      <c r="F207" s="1" t="s">
        <v>2446</v>
      </c>
      <c r="G207" s="241" t="str">
        <f t="shared" si="3"/>
        <v>120303</v>
      </c>
      <c r="H207" s="168">
        <v>120</v>
      </c>
      <c r="I207" s="168">
        <v>30</v>
      </c>
      <c r="J207" s="168">
        <v>3</v>
      </c>
      <c r="K207" s="168">
        <v>25</v>
      </c>
      <c r="L207" s="1"/>
    </row>
    <row r="208" spans="1:12" hidden="1">
      <c r="A208" s="30">
        <v>212</v>
      </c>
      <c r="B208" s="1" t="s">
        <v>1922</v>
      </c>
      <c r="C208" s="28" t="s">
        <v>2235</v>
      </c>
      <c r="D208" s="1" t="s">
        <v>14</v>
      </c>
      <c r="E208" s="1" t="s">
        <v>1699</v>
      </c>
      <c r="F208" s="1" t="s">
        <v>2447</v>
      </c>
      <c r="G208" s="241" t="str">
        <f t="shared" si="3"/>
        <v>120353</v>
      </c>
      <c r="H208" s="168">
        <v>120</v>
      </c>
      <c r="I208" s="168">
        <v>35</v>
      </c>
      <c r="J208" s="168">
        <v>3</v>
      </c>
      <c r="K208" s="168">
        <v>25</v>
      </c>
      <c r="L208" s="1"/>
    </row>
    <row r="209" spans="1:12" hidden="1">
      <c r="A209" s="30">
        <v>213</v>
      </c>
      <c r="B209" s="1" t="s">
        <v>1923</v>
      </c>
      <c r="C209" s="28" t="s">
        <v>2234</v>
      </c>
      <c r="D209" s="1" t="s">
        <v>16</v>
      </c>
      <c r="E209" s="1" t="s">
        <v>1694</v>
      </c>
      <c r="F209" s="1" t="s">
        <v>2448</v>
      </c>
      <c r="G209" s="241" t="str">
        <f t="shared" si="3"/>
        <v>1003016</v>
      </c>
      <c r="H209" s="168">
        <v>100</v>
      </c>
      <c r="I209" s="168">
        <v>30</v>
      </c>
      <c r="J209" s="168">
        <v>16</v>
      </c>
      <c r="K209" s="168">
        <v>9</v>
      </c>
      <c r="L209" s="1"/>
    </row>
    <row r="210" spans="1:12" hidden="1">
      <c r="A210" s="30">
        <v>214</v>
      </c>
      <c r="B210" s="1" t="s">
        <v>1924</v>
      </c>
      <c r="C210" s="28" t="s">
        <v>2234</v>
      </c>
      <c r="D210" s="1" t="s">
        <v>16</v>
      </c>
      <c r="E210" s="1" t="s">
        <v>1694</v>
      </c>
      <c r="F210" s="1" t="s">
        <v>2449</v>
      </c>
      <c r="G210" s="241" t="str">
        <f t="shared" si="3"/>
        <v>1003315</v>
      </c>
      <c r="H210" s="168">
        <v>100</v>
      </c>
      <c r="I210" s="168">
        <v>33</v>
      </c>
      <c r="J210" s="168">
        <v>15</v>
      </c>
      <c r="K210" s="168">
        <v>8</v>
      </c>
      <c r="L210" s="1"/>
    </row>
    <row r="211" spans="1:12" hidden="1">
      <c r="A211" s="30">
        <v>215</v>
      </c>
      <c r="B211" s="1" t="s">
        <v>1925</v>
      </c>
      <c r="C211" s="28" t="s">
        <v>2234</v>
      </c>
      <c r="D211" s="1" t="s">
        <v>16</v>
      </c>
      <c r="E211" s="1" t="s">
        <v>1694</v>
      </c>
      <c r="F211" s="1" t="s">
        <v>2450</v>
      </c>
      <c r="G211" s="241" t="str">
        <f t="shared" si="3"/>
        <v>1253016</v>
      </c>
      <c r="H211" s="168">
        <v>125</v>
      </c>
      <c r="I211" s="168">
        <v>30</v>
      </c>
      <c r="J211" s="168">
        <v>16</v>
      </c>
      <c r="K211" s="168">
        <v>6</v>
      </c>
      <c r="L211" s="1"/>
    </row>
    <row r="212" spans="1:12" hidden="1">
      <c r="A212" s="30">
        <v>216</v>
      </c>
      <c r="B212" s="1" t="s">
        <v>1926</v>
      </c>
      <c r="C212" s="28" t="s">
        <v>2234</v>
      </c>
      <c r="D212" s="1" t="s">
        <v>16</v>
      </c>
      <c r="E212" s="1" t="s">
        <v>1694</v>
      </c>
      <c r="F212" s="1" t="s">
        <v>2451</v>
      </c>
      <c r="G212" s="241" t="str">
        <f t="shared" si="3"/>
        <v>1503016</v>
      </c>
      <c r="H212" s="168">
        <v>150</v>
      </c>
      <c r="I212" s="168">
        <v>30</v>
      </c>
      <c r="J212" s="168">
        <v>16</v>
      </c>
      <c r="K212" s="168">
        <v>6</v>
      </c>
      <c r="L212" s="1"/>
    </row>
    <row r="213" spans="1:12" hidden="1">
      <c r="A213" s="30">
        <v>217</v>
      </c>
      <c r="B213" s="1" t="s">
        <v>1927</v>
      </c>
      <c r="C213" s="28" t="s">
        <v>2234</v>
      </c>
      <c r="D213" s="1" t="s">
        <v>16</v>
      </c>
      <c r="E213" s="1" t="s">
        <v>1694</v>
      </c>
      <c r="F213" s="1" t="s">
        <v>2452</v>
      </c>
      <c r="G213" s="241" t="str">
        <f t="shared" si="3"/>
        <v>1803610</v>
      </c>
      <c r="H213" s="168">
        <v>180</v>
      </c>
      <c r="I213" s="168">
        <v>36</v>
      </c>
      <c r="J213" s="168">
        <v>10</v>
      </c>
      <c r="K213" s="168">
        <v>6</v>
      </c>
      <c r="L213" s="1"/>
    </row>
    <row r="214" spans="1:12" hidden="1">
      <c r="A214" s="30">
        <v>218</v>
      </c>
      <c r="B214" s="1" t="s">
        <v>1928</v>
      </c>
      <c r="C214" s="28" t="s">
        <v>2234</v>
      </c>
      <c r="D214" s="1" t="s">
        <v>16</v>
      </c>
      <c r="E214" s="1" t="s">
        <v>1694</v>
      </c>
      <c r="F214" s="1" t="s">
        <v>2453</v>
      </c>
      <c r="G214" s="241" t="str">
        <f t="shared" si="3"/>
        <v>2003315</v>
      </c>
      <c r="H214" s="168">
        <v>200</v>
      </c>
      <c r="I214" s="168">
        <v>33</v>
      </c>
      <c r="J214" s="168">
        <v>15</v>
      </c>
      <c r="K214" s="168">
        <v>4</v>
      </c>
      <c r="L214" s="1"/>
    </row>
    <row r="215" spans="1:12" hidden="1">
      <c r="A215" s="30">
        <v>219</v>
      </c>
      <c r="B215" s="1" t="s">
        <v>1929</v>
      </c>
      <c r="C215" s="28" t="s">
        <v>2234</v>
      </c>
      <c r="D215" s="1" t="s">
        <v>15</v>
      </c>
      <c r="E215" s="1" t="s">
        <v>1695</v>
      </c>
      <c r="F215" s="1" t="s">
        <v>2454</v>
      </c>
      <c r="G215" s="241" t="str">
        <f t="shared" si="3"/>
        <v>301510</v>
      </c>
      <c r="H215" s="168">
        <v>30</v>
      </c>
      <c r="I215" s="168">
        <v>15</v>
      </c>
      <c r="J215" s="168">
        <v>10</v>
      </c>
      <c r="K215" s="168">
        <v>126</v>
      </c>
      <c r="L215" s="1"/>
    </row>
    <row r="216" spans="1:12" hidden="1">
      <c r="A216" s="30">
        <v>220</v>
      </c>
      <c r="B216" s="1" t="s">
        <v>1930</v>
      </c>
      <c r="C216" s="28" t="s">
        <v>2234</v>
      </c>
      <c r="D216" s="1" t="s">
        <v>13</v>
      </c>
      <c r="E216" s="1" t="s">
        <v>1696</v>
      </c>
      <c r="F216" s="1" t="s">
        <v>2455</v>
      </c>
      <c r="G216" s="241" t="str">
        <f t="shared" si="3"/>
        <v>161612</v>
      </c>
      <c r="H216" s="168">
        <v>16</v>
      </c>
      <c r="I216" s="168">
        <v>16</v>
      </c>
      <c r="J216" s="168">
        <v>12</v>
      </c>
      <c r="K216" s="168">
        <v>144</v>
      </c>
      <c r="L216" s="1"/>
    </row>
    <row r="217" spans="1:12" hidden="1">
      <c r="A217" s="30">
        <v>221</v>
      </c>
      <c r="B217" s="1" t="s">
        <v>1931</v>
      </c>
      <c r="C217" s="28" t="s">
        <v>2234</v>
      </c>
      <c r="D217" s="1" t="s">
        <v>13</v>
      </c>
      <c r="E217" s="1" t="s">
        <v>1696</v>
      </c>
      <c r="F217" s="1" t="s">
        <v>2456</v>
      </c>
      <c r="G217" s="241" t="str">
        <f t="shared" si="3"/>
        <v>14145</v>
      </c>
      <c r="H217" s="168">
        <v>14</v>
      </c>
      <c r="I217" s="168">
        <v>14</v>
      </c>
      <c r="J217" s="168">
        <v>5</v>
      </c>
      <c r="K217" s="168">
        <v>539</v>
      </c>
      <c r="L217" s="1"/>
    </row>
    <row r="218" spans="1:12" hidden="1">
      <c r="A218" s="30">
        <v>222</v>
      </c>
      <c r="B218" s="1" t="s">
        <v>1932</v>
      </c>
      <c r="C218" s="28" t="s">
        <v>2234</v>
      </c>
      <c r="D218" s="1" t="s">
        <v>13</v>
      </c>
      <c r="E218" s="1" t="s">
        <v>1696</v>
      </c>
      <c r="F218" s="1" t="s">
        <v>2457</v>
      </c>
      <c r="G218" s="241" t="str">
        <f t="shared" si="3"/>
        <v>14148</v>
      </c>
      <c r="H218" s="168">
        <v>14</v>
      </c>
      <c r="I218" s="168">
        <v>14</v>
      </c>
      <c r="J218" s="168">
        <v>8</v>
      </c>
      <c r="K218" s="168">
        <v>343</v>
      </c>
      <c r="L218" s="1"/>
    </row>
    <row r="219" spans="1:12" hidden="1">
      <c r="A219" s="30">
        <v>223</v>
      </c>
      <c r="B219" s="1" t="s">
        <v>1933</v>
      </c>
      <c r="C219" s="28" t="s">
        <v>2234</v>
      </c>
      <c r="D219" s="1" t="s">
        <v>13</v>
      </c>
      <c r="E219" s="1" t="s">
        <v>1696</v>
      </c>
      <c r="F219" s="1" t="s">
        <v>2458</v>
      </c>
      <c r="G219" s="241" t="str">
        <f t="shared" si="3"/>
        <v>16167</v>
      </c>
      <c r="H219" s="168">
        <v>16</v>
      </c>
      <c r="I219" s="168">
        <v>16</v>
      </c>
      <c r="J219" s="168">
        <v>7</v>
      </c>
      <c r="K219" s="168">
        <v>288</v>
      </c>
      <c r="L219" s="1"/>
    </row>
    <row r="220" spans="1:12" hidden="1">
      <c r="A220" s="30">
        <v>224</v>
      </c>
      <c r="B220" s="1" t="s">
        <v>1934</v>
      </c>
      <c r="C220" s="28" t="s">
        <v>2234</v>
      </c>
      <c r="D220" s="1" t="s">
        <v>13</v>
      </c>
      <c r="E220" s="1" t="s">
        <v>1696</v>
      </c>
      <c r="F220" s="1" t="s">
        <v>2459</v>
      </c>
      <c r="G220" s="241" t="str">
        <f t="shared" si="3"/>
        <v>10108</v>
      </c>
      <c r="H220" s="168">
        <v>10</v>
      </c>
      <c r="I220" s="168">
        <v>10</v>
      </c>
      <c r="J220" s="168">
        <v>8</v>
      </c>
      <c r="K220" s="168">
        <v>700</v>
      </c>
      <c r="L220" s="1"/>
    </row>
    <row r="221" spans="1:12" hidden="1">
      <c r="A221" s="30">
        <v>225</v>
      </c>
      <c r="B221" s="1" t="s">
        <v>1935</v>
      </c>
      <c r="C221" s="28" t="s">
        <v>2234</v>
      </c>
      <c r="D221" s="1" t="s">
        <v>13</v>
      </c>
      <c r="E221" s="1" t="s">
        <v>1696</v>
      </c>
      <c r="F221" s="1" t="s">
        <v>2460</v>
      </c>
      <c r="G221" s="241" t="str">
        <f t="shared" si="3"/>
        <v>10108.5</v>
      </c>
      <c r="H221" s="168">
        <v>10</v>
      </c>
      <c r="I221" s="168">
        <v>10</v>
      </c>
      <c r="J221" s="168">
        <v>8.5</v>
      </c>
      <c r="K221" s="168">
        <v>700</v>
      </c>
      <c r="L221" s="1"/>
    </row>
    <row r="222" spans="1:12" hidden="1">
      <c r="A222" s="30">
        <v>226</v>
      </c>
      <c r="B222" s="1" t="s">
        <v>1936</v>
      </c>
      <c r="C222" s="28" t="s">
        <v>2234</v>
      </c>
      <c r="D222" s="1" t="s">
        <v>13</v>
      </c>
      <c r="E222" s="1" t="s">
        <v>1696</v>
      </c>
      <c r="F222" s="1" t="s">
        <v>2461</v>
      </c>
      <c r="G222" s="241" t="str">
        <f t="shared" si="3"/>
        <v>10109</v>
      </c>
      <c r="H222" s="168">
        <v>10</v>
      </c>
      <c r="I222" s="168">
        <v>10</v>
      </c>
      <c r="J222" s="168">
        <v>9</v>
      </c>
      <c r="K222" s="168">
        <v>700</v>
      </c>
      <c r="L222" s="1"/>
    </row>
    <row r="223" spans="1:12" hidden="1">
      <c r="A223" s="30">
        <v>227</v>
      </c>
      <c r="B223" s="1" t="s">
        <v>1937</v>
      </c>
      <c r="C223" s="28" t="s">
        <v>2234</v>
      </c>
      <c r="D223" s="1" t="s">
        <v>13</v>
      </c>
      <c r="E223" s="1" t="s">
        <v>1696</v>
      </c>
      <c r="F223" s="1" t="s">
        <v>2462</v>
      </c>
      <c r="G223" s="241" t="str">
        <f t="shared" si="3"/>
        <v>14144</v>
      </c>
      <c r="H223" s="168">
        <v>14</v>
      </c>
      <c r="I223" s="168">
        <v>14</v>
      </c>
      <c r="J223" s="168">
        <v>4</v>
      </c>
      <c r="K223" s="168">
        <v>735</v>
      </c>
      <c r="L223" s="1"/>
    </row>
    <row r="224" spans="1:12" hidden="1">
      <c r="A224" s="30">
        <v>228</v>
      </c>
      <c r="B224" s="1" t="s">
        <v>1938</v>
      </c>
      <c r="C224" s="28" t="s">
        <v>2234</v>
      </c>
      <c r="D224" s="1" t="s">
        <v>13</v>
      </c>
      <c r="E224" s="1" t="s">
        <v>1696</v>
      </c>
      <c r="F224" s="1" t="s">
        <v>2463</v>
      </c>
      <c r="G224" s="241" t="str">
        <f t="shared" si="3"/>
        <v>14148</v>
      </c>
      <c r="H224" s="168">
        <v>14</v>
      </c>
      <c r="I224" s="168">
        <v>14</v>
      </c>
      <c r="J224" s="168">
        <v>8</v>
      </c>
      <c r="K224" s="168">
        <v>343</v>
      </c>
      <c r="L224" s="1"/>
    </row>
    <row r="225" spans="1:12" hidden="1">
      <c r="A225" s="30">
        <v>229</v>
      </c>
      <c r="B225" s="1" t="s">
        <v>1939</v>
      </c>
      <c r="C225" s="28" t="s">
        <v>2234</v>
      </c>
      <c r="D225" s="1" t="s">
        <v>13</v>
      </c>
      <c r="E225" s="1" t="s">
        <v>1696</v>
      </c>
      <c r="F225" s="1" t="s">
        <v>2464</v>
      </c>
      <c r="G225" s="241" t="str">
        <f t="shared" si="3"/>
        <v>161616</v>
      </c>
      <c r="H225" s="168">
        <v>16</v>
      </c>
      <c r="I225" s="168">
        <v>16</v>
      </c>
      <c r="J225" s="168">
        <v>16</v>
      </c>
      <c r="K225" s="168">
        <v>144</v>
      </c>
      <c r="L225" s="1"/>
    </row>
    <row r="226" spans="1:12" hidden="1">
      <c r="A226" s="30">
        <v>230</v>
      </c>
      <c r="B226" s="1" t="s">
        <v>1940</v>
      </c>
      <c r="C226" s="28" t="s">
        <v>2234</v>
      </c>
      <c r="D226" s="1" t="s">
        <v>13</v>
      </c>
      <c r="E226" s="1" t="s">
        <v>1696</v>
      </c>
      <c r="F226" s="1" t="s">
        <v>2465</v>
      </c>
      <c r="G226" s="241" t="str">
        <f t="shared" si="3"/>
        <v>1999</v>
      </c>
      <c r="H226" s="168">
        <v>19</v>
      </c>
      <c r="I226" s="168">
        <v>9</v>
      </c>
      <c r="J226" s="168">
        <v>9</v>
      </c>
      <c r="K226" s="168">
        <v>250</v>
      </c>
      <c r="L226" s="1"/>
    </row>
    <row r="227" spans="1:12" hidden="1">
      <c r="A227" s="30">
        <v>231</v>
      </c>
      <c r="B227" s="1" t="s">
        <v>1941</v>
      </c>
      <c r="C227" s="28" t="s">
        <v>2234</v>
      </c>
      <c r="D227" s="1" t="s">
        <v>13</v>
      </c>
      <c r="E227" s="1" t="s">
        <v>1696</v>
      </c>
      <c r="F227" s="1" t="s">
        <v>2466</v>
      </c>
      <c r="G227" s="241" t="str">
        <f t="shared" si="3"/>
        <v>201010</v>
      </c>
      <c r="H227" s="168">
        <v>20</v>
      </c>
      <c r="I227" s="168">
        <v>10</v>
      </c>
      <c r="J227" s="168">
        <v>10</v>
      </c>
      <c r="K227" s="168">
        <v>6300</v>
      </c>
      <c r="L227" s="1"/>
    </row>
    <row r="228" spans="1:12" hidden="1">
      <c r="A228" s="30">
        <v>232</v>
      </c>
      <c r="B228" s="1" t="s">
        <v>1942</v>
      </c>
      <c r="C228" s="28" t="s">
        <v>2234</v>
      </c>
      <c r="D228" s="1" t="s">
        <v>13</v>
      </c>
      <c r="E228" s="1" t="s">
        <v>1696</v>
      </c>
      <c r="F228" s="1" t="s">
        <v>2467</v>
      </c>
      <c r="G228" s="241" t="str">
        <f t="shared" si="3"/>
        <v>20108.5</v>
      </c>
      <c r="H228" s="168">
        <v>20</v>
      </c>
      <c r="I228" s="168">
        <v>10</v>
      </c>
      <c r="J228" s="168">
        <v>8.5</v>
      </c>
      <c r="K228" s="168">
        <v>350</v>
      </c>
      <c r="L228" s="1"/>
    </row>
    <row r="229" spans="1:12" hidden="1">
      <c r="A229" s="30">
        <v>233</v>
      </c>
      <c r="B229" s="1" t="s">
        <v>1943</v>
      </c>
      <c r="C229" s="28" t="s">
        <v>2234</v>
      </c>
      <c r="D229" s="1" t="s">
        <v>13</v>
      </c>
      <c r="E229" s="1" t="s">
        <v>1696</v>
      </c>
      <c r="F229" s="1" t="s">
        <v>2468</v>
      </c>
      <c r="G229" s="241" t="str">
        <f t="shared" si="3"/>
        <v>20109</v>
      </c>
      <c r="H229" s="168">
        <v>20</v>
      </c>
      <c r="I229" s="168">
        <v>10</v>
      </c>
      <c r="J229" s="168">
        <v>9</v>
      </c>
      <c r="K229" s="168">
        <v>300</v>
      </c>
      <c r="L229" s="1"/>
    </row>
    <row r="230" spans="1:12" hidden="1">
      <c r="A230" s="30">
        <v>234</v>
      </c>
      <c r="B230" s="1" t="s">
        <v>1944</v>
      </c>
      <c r="C230" s="28" t="s">
        <v>2234</v>
      </c>
      <c r="D230" s="1" t="s">
        <v>13</v>
      </c>
      <c r="E230" s="1" t="s">
        <v>1696</v>
      </c>
      <c r="F230" s="1" t="s">
        <v>2469</v>
      </c>
      <c r="G230" s="241" t="str">
        <f t="shared" si="3"/>
        <v>202020</v>
      </c>
      <c r="H230" s="168">
        <v>20</v>
      </c>
      <c r="I230" s="168">
        <v>20</v>
      </c>
      <c r="J230" s="168">
        <v>20</v>
      </c>
      <c r="K230" s="168">
        <v>5</v>
      </c>
      <c r="L230" s="1"/>
    </row>
    <row r="231" spans="1:12" hidden="1">
      <c r="A231" s="30">
        <v>235</v>
      </c>
      <c r="B231" s="1" t="s">
        <v>1945</v>
      </c>
      <c r="C231" s="28" t="s">
        <v>2234</v>
      </c>
      <c r="D231" s="1" t="s">
        <v>13</v>
      </c>
      <c r="E231" s="1" t="s">
        <v>1696</v>
      </c>
      <c r="F231" s="1" t="s">
        <v>2470</v>
      </c>
      <c r="G231" s="241" t="str">
        <f t="shared" si="3"/>
        <v>2999</v>
      </c>
      <c r="H231" s="168">
        <v>29</v>
      </c>
      <c r="I231" s="168">
        <v>9</v>
      </c>
      <c r="J231" s="168">
        <v>9</v>
      </c>
      <c r="K231" s="168">
        <v>180</v>
      </c>
      <c r="L231" s="1"/>
    </row>
    <row r="232" spans="1:12" hidden="1">
      <c r="A232" s="30">
        <v>236</v>
      </c>
      <c r="B232" s="1" t="s">
        <v>1946</v>
      </c>
      <c r="C232" s="28" t="s">
        <v>2234</v>
      </c>
      <c r="D232" s="1" t="s">
        <v>13</v>
      </c>
      <c r="E232" s="1" t="s">
        <v>1696</v>
      </c>
      <c r="F232" s="1" t="s">
        <v>2471</v>
      </c>
      <c r="G232" s="241" t="str">
        <f t="shared" si="3"/>
        <v>303030</v>
      </c>
      <c r="H232" s="168">
        <v>30</v>
      </c>
      <c r="I232" s="168">
        <v>30</v>
      </c>
      <c r="J232" s="168">
        <v>30</v>
      </c>
      <c r="K232" s="168">
        <v>12</v>
      </c>
      <c r="L232" s="1"/>
    </row>
    <row r="233" spans="1:12" hidden="1">
      <c r="A233" s="30">
        <v>237</v>
      </c>
      <c r="B233" s="1" t="s">
        <v>1947</v>
      </c>
      <c r="C233" s="28" t="s">
        <v>2234</v>
      </c>
      <c r="D233" s="1" t="s">
        <v>13</v>
      </c>
      <c r="E233" s="1" t="s">
        <v>1696</v>
      </c>
      <c r="F233" s="1" t="s">
        <v>2472</v>
      </c>
      <c r="G233" s="241" t="str">
        <f t="shared" si="3"/>
        <v>404040</v>
      </c>
      <c r="H233" s="168">
        <v>40</v>
      </c>
      <c r="I233" s="168">
        <v>40</v>
      </c>
      <c r="J233" s="168">
        <v>40</v>
      </c>
      <c r="K233" s="168">
        <v>2</v>
      </c>
      <c r="L233" s="1"/>
    </row>
    <row r="234" spans="1:12" hidden="1">
      <c r="A234" s="30">
        <v>238</v>
      </c>
      <c r="B234" s="1" t="s">
        <v>1948</v>
      </c>
      <c r="C234" s="28" t="s">
        <v>2234</v>
      </c>
      <c r="D234" s="1" t="s">
        <v>13</v>
      </c>
      <c r="E234" s="1" t="s">
        <v>1696</v>
      </c>
      <c r="F234" s="1" t="s">
        <v>2473</v>
      </c>
      <c r="G234" s="241" t="str">
        <f t="shared" si="3"/>
        <v>505050</v>
      </c>
      <c r="H234" s="168">
        <v>50</v>
      </c>
      <c r="I234" s="168">
        <v>50</v>
      </c>
      <c r="J234" s="168">
        <v>50</v>
      </c>
      <c r="K234" s="168">
        <v>5</v>
      </c>
      <c r="L234" s="1"/>
    </row>
    <row r="235" spans="1:12" hidden="1">
      <c r="A235" s="30">
        <v>239</v>
      </c>
      <c r="B235" s="1" t="s">
        <v>1949</v>
      </c>
      <c r="C235" s="28" t="s">
        <v>2234</v>
      </c>
      <c r="D235" s="1" t="s">
        <v>13</v>
      </c>
      <c r="E235" s="1" t="s">
        <v>1696</v>
      </c>
      <c r="F235" s="1" t="s">
        <v>2474</v>
      </c>
      <c r="G235" s="241" t="str">
        <f t="shared" si="3"/>
        <v>555</v>
      </c>
      <c r="H235" s="168">
        <v>5</v>
      </c>
      <c r="I235" s="168">
        <v>5</v>
      </c>
      <c r="J235" s="168">
        <v>5</v>
      </c>
      <c r="K235" s="168">
        <v>4000</v>
      </c>
      <c r="L235" s="1"/>
    </row>
    <row r="236" spans="1:12" hidden="1">
      <c r="A236" s="30">
        <v>240</v>
      </c>
      <c r="B236" s="1" t="s">
        <v>1950</v>
      </c>
      <c r="C236" s="28" t="s">
        <v>2234</v>
      </c>
      <c r="D236" s="1" t="s">
        <v>13</v>
      </c>
      <c r="E236" s="1" t="s">
        <v>1696</v>
      </c>
      <c r="F236" s="1" t="s">
        <v>2475</v>
      </c>
      <c r="G236" s="241" t="str">
        <f t="shared" si="3"/>
        <v>994.5</v>
      </c>
      <c r="H236" s="168">
        <v>9</v>
      </c>
      <c r="I236" s="168">
        <v>9</v>
      </c>
      <c r="J236" s="168">
        <v>4.5</v>
      </c>
      <c r="K236" s="168">
        <v>1000</v>
      </c>
      <c r="L236" s="1"/>
    </row>
    <row r="237" spans="1:12" hidden="1">
      <c r="A237" s="30">
        <v>241</v>
      </c>
      <c r="B237" s="1" t="s">
        <v>1951</v>
      </c>
      <c r="C237" s="28" t="s">
        <v>2234</v>
      </c>
      <c r="D237" s="1" t="s">
        <v>13</v>
      </c>
      <c r="E237" s="1" t="s">
        <v>1696</v>
      </c>
      <c r="F237" s="1" t="s">
        <v>2476</v>
      </c>
      <c r="G237" s="241" t="str">
        <f t="shared" si="3"/>
        <v>999</v>
      </c>
      <c r="H237" s="168">
        <v>9</v>
      </c>
      <c r="I237" s="168">
        <v>9</v>
      </c>
      <c r="J237" s="168">
        <v>9</v>
      </c>
      <c r="K237" s="168">
        <v>500</v>
      </c>
      <c r="L237" s="1"/>
    </row>
    <row r="238" spans="1:12" hidden="1">
      <c r="A238" s="30">
        <v>242</v>
      </c>
      <c r="B238" s="1" t="s">
        <v>1952</v>
      </c>
      <c r="C238" s="28" t="s">
        <v>2234</v>
      </c>
      <c r="D238" s="1" t="s">
        <v>13</v>
      </c>
      <c r="E238" s="1" t="s">
        <v>1696</v>
      </c>
      <c r="F238" s="1" t="s">
        <v>2477</v>
      </c>
      <c r="G238" s="241" t="str">
        <f t="shared" si="3"/>
        <v>999</v>
      </c>
      <c r="H238" s="168">
        <v>9</v>
      </c>
      <c r="I238" s="168">
        <v>9</v>
      </c>
      <c r="J238" s="168">
        <v>9</v>
      </c>
      <c r="K238" s="168">
        <v>726</v>
      </c>
      <c r="L238" s="1"/>
    </row>
    <row r="239" spans="1:12" hidden="1">
      <c r="A239" s="30">
        <v>243</v>
      </c>
      <c r="B239" s="1" t="s">
        <v>1953</v>
      </c>
      <c r="C239" s="28" t="s">
        <v>2234</v>
      </c>
      <c r="D239" s="1" t="s">
        <v>13</v>
      </c>
      <c r="E239" s="1" t="s">
        <v>1696</v>
      </c>
      <c r="F239" s="1" t="s">
        <v>2478</v>
      </c>
      <c r="G239" s="241" t="str">
        <f t="shared" si="3"/>
        <v>3055</v>
      </c>
      <c r="H239" s="168">
        <v>30</v>
      </c>
      <c r="I239" s="168">
        <v>5</v>
      </c>
      <c r="J239" s="168">
        <v>5</v>
      </c>
      <c r="K239" s="168">
        <v>432</v>
      </c>
      <c r="L239" s="1"/>
    </row>
    <row r="240" spans="1:12" hidden="1">
      <c r="A240" s="30">
        <v>244</v>
      </c>
      <c r="B240" s="1" t="s">
        <v>1954</v>
      </c>
      <c r="C240" s="28" t="s">
        <v>2234</v>
      </c>
      <c r="D240" s="1" t="s">
        <v>15</v>
      </c>
      <c r="E240" s="1" t="s">
        <v>29</v>
      </c>
      <c r="F240" s="1" t="s">
        <v>2479</v>
      </c>
      <c r="G240" s="241" t="str">
        <f t="shared" si="3"/>
        <v>100258</v>
      </c>
      <c r="H240" s="168">
        <v>100</v>
      </c>
      <c r="I240" s="168">
        <v>25</v>
      </c>
      <c r="J240" s="168">
        <v>8</v>
      </c>
      <c r="K240" s="168">
        <v>20</v>
      </c>
      <c r="L240" s="1"/>
    </row>
    <row r="241" spans="1:12" hidden="1">
      <c r="A241" s="30">
        <v>245</v>
      </c>
      <c r="B241" s="1" t="s">
        <v>1955</v>
      </c>
      <c r="C241" s="28" t="s">
        <v>2234</v>
      </c>
      <c r="D241" s="1" t="s">
        <v>15</v>
      </c>
      <c r="E241" s="1" t="s">
        <v>29</v>
      </c>
      <c r="F241" s="1" t="s">
        <v>2480</v>
      </c>
      <c r="G241" s="241" t="str">
        <f t="shared" si="3"/>
        <v>125258</v>
      </c>
      <c r="H241" s="168">
        <v>125</v>
      </c>
      <c r="I241" s="168">
        <v>25</v>
      </c>
      <c r="J241" s="168">
        <v>8</v>
      </c>
      <c r="K241" s="168">
        <v>18</v>
      </c>
      <c r="L241" s="1"/>
    </row>
    <row r="242" spans="1:12" hidden="1">
      <c r="A242" s="30">
        <v>246</v>
      </c>
      <c r="B242" s="1" t="s">
        <v>1956</v>
      </c>
      <c r="C242" s="28" t="s">
        <v>2234</v>
      </c>
      <c r="D242" s="1" t="s">
        <v>15</v>
      </c>
      <c r="E242" s="1" t="s">
        <v>29</v>
      </c>
      <c r="F242" s="1" t="s">
        <v>2481</v>
      </c>
      <c r="G242" s="241" t="str">
        <f t="shared" si="3"/>
        <v>150258</v>
      </c>
      <c r="H242" s="168">
        <v>150</v>
      </c>
      <c r="I242" s="168">
        <v>25</v>
      </c>
      <c r="J242" s="168">
        <v>8</v>
      </c>
      <c r="K242" s="168">
        <v>16</v>
      </c>
      <c r="L242" s="1"/>
    </row>
    <row r="243" spans="1:12" hidden="1">
      <c r="A243" s="30">
        <v>247</v>
      </c>
      <c r="B243" s="1" t="s">
        <v>1957</v>
      </c>
      <c r="C243" s="28" t="s">
        <v>2234</v>
      </c>
      <c r="D243" s="1" t="s">
        <v>15</v>
      </c>
      <c r="E243" s="1" t="s">
        <v>29</v>
      </c>
      <c r="F243" s="1" t="s">
        <v>2482</v>
      </c>
      <c r="G243" s="241" t="str">
        <f t="shared" si="3"/>
        <v>150358</v>
      </c>
      <c r="H243" s="168">
        <v>150</v>
      </c>
      <c r="I243" s="168">
        <v>35</v>
      </c>
      <c r="J243" s="168">
        <v>8</v>
      </c>
      <c r="K243" s="168">
        <v>9</v>
      </c>
      <c r="L243" s="1"/>
    </row>
    <row r="244" spans="1:12" hidden="1">
      <c r="A244" s="30">
        <v>248</v>
      </c>
      <c r="B244" s="1" t="s">
        <v>1958</v>
      </c>
      <c r="C244" s="28" t="s">
        <v>2234</v>
      </c>
      <c r="D244" s="1" t="s">
        <v>15</v>
      </c>
      <c r="E244" s="1" t="s">
        <v>29</v>
      </c>
      <c r="F244" s="1" t="s">
        <v>2483</v>
      </c>
      <c r="G244" s="241" t="str">
        <f t="shared" si="3"/>
        <v>1509.57</v>
      </c>
      <c r="H244" s="168">
        <v>150</v>
      </c>
      <c r="I244" s="168">
        <v>9.5</v>
      </c>
      <c r="J244" s="168">
        <v>7</v>
      </c>
      <c r="K244" s="168">
        <v>16</v>
      </c>
      <c r="L244" s="1"/>
    </row>
    <row r="245" spans="1:12" hidden="1">
      <c r="A245" s="30">
        <v>249</v>
      </c>
      <c r="B245" s="1" t="s">
        <v>1959</v>
      </c>
      <c r="C245" s="28" t="s">
        <v>2234</v>
      </c>
      <c r="D245" s="1" t="s">
        <v>15</v>
      </c>
      <c r="E245" s="1" t="s">
        <v>29</v>
      </c>
      <c r="F245" s="1" t="s">
        <v>2484</v>
      </c>
      <c r="G245" s="241" t="str">
        <f t="shared" si="3"/>
        <v>155.513.55</v>
      </c>
      <c r="H245" s="168">
        <v>155.5</v>
      </c>
      <c r="I245" s="168">
        <v>13.5</v>
      </c>
      <c r="J245" s="168">
        <v>5</v>
      </c>
      <c r="K245" s="168">
        <v>16</v>
      </c>
      <c r="L245" s="1"/>
    </row>
    <row r="246" spans="1:12" hidden="1">
      <c r="A246" s="30">
        <v>250</v>
      </c>
      <c r="B246" s="1" t="s">
        <v>1960</v>
      </c>
      <c r="C246" s="28" t="s">
        <v>2234</v>
      </c>
      <c r="D246" s="1" t="s">
        <v>15</v>
      </c>
      <c r="E246" s="1" t="s">
        <v>29</v>
      </c>
      <c r="F246" s="1" t="s">
        <v>2485</v>
      </c>
      <c r="G246" s="241" t="str">
        <f t="shared" si="3"/>
        <v>155.5354</v>
      </c>
      <c r="H246" s="168">
        <v>155.5</v>
      </c>
      <c r="I246" s="168">
        <v>35</v>
      </c>
      <c r="J246" s="168">
        <v>4</v>
      </c>
      <c r="K246" s="168">
        <v>16</v>
      </c>
      <c r="L246" s="1"/>
    </row>
    <row r="247" spans="1:12" hidden="1">
      <c r="A247" s="30">
        <v>251</v>
      </c>
      <c r="B247" s="1" t="s">
        <v>1961</v>
      </c>
      <c r="C247" s="28" t="s">
        <v>2234</v>
      </c>
      <c r="D247" s="1" t="s">
        <v>15</v>
      </c>
      <c r="E247" s="1" t="s">
        <v>29</v>
      </c>
      <c r="F247" s="1" t="s">
        <v>2486</v>
      </c>
      <c r="G247" s="241" t="str">
        <f t="shared" si="3"/>
        <v>15513.55</v>
      </c>
      <c r="H247" s="168">
        <v>155</v>
      </c>
      <c r="I247" s="168">
        <v>13.5</v>
      </c>
      <c r="J247" s="168">
        <v>5</v>
      </c>
      <c r="K247" s="168">
        <v>16</v>
      </c>
      <c r="L247" s="1"/>
    </row>
    <row r="248" spans="1:12" hidden="1">
      <c r="A248" s="30">
        <v>252</v>
      </c>
      <c r="B248" s="1" t="s">
        <v>1962</v>
      </c>
      <c r="C248" s="28" t="s">
        <v>2234</v>
      </c>
      <c r="D248" s="1" t="s">
        <v>15</v>
      </c>
      <c r="E248" s="1" t="s">
        <v>29</v>
      </c>
      <c r="F248" s="1" t="s">
        <v>2487</v>
      </c>
      <c r="G248" s="241" t="str">
        <f t="shared" si="3"/>
        <v>155354</v>
      </c>
      <c r="H248" s="168">
        <v>155</v>
      </c>
      <c r="I248" s="168">
        <v>35</v>
      </c>
      <c r="J248" s="168">
        <v>4</v>
      </c>
      <c r="K248" s="168">
        <v>16</v>
      </c>
      <c r="L248" s="1"/>
    </row>
    <row r="249" spans="1:12" hidden="1">
      <c r="A249" s="30">
        <v>253</v>
      </c>
      <c r="B249" s="1" t="s">
        <v>1963</v>
      </c>
      <c r="C249" s="28" t="s">
        <v>2234</v>
      </c>
      <c r="D249" s="1" t="s">
        <v>15</v>
      </c>
      <c r="E249" s="1" t="s">
        <v>29</v>
      </c>
      <c r="F249" s="1" t="s">
        <v>2488</v>
      </c>
      <c r="G249" s="241" t="str">
        <f t="shared" si="3"/>
        <v>3513.55</v>
      </c>
      <c r="H249" s="168">
        <v>35</v>
      </c>
      <c r="I249" s="168">
        <v>13.5</v>
      </c>
      <c r="J249" s="168">
        <v>5</v>
      </c>
      <c r="K249" s="168">
        <v>16</v>
      </c>
      <c r="L249" s="1"/>
    </row>
    <row r="250" spans="1:12" hidden="1">
      <c r="A250" s="30">
        <v>254</v>
      </c>
      <c r="B250" s="1" t="s">
        <v>1964</v>
      </c>
      <c r="C250" s="28" t="s">
        <v>2234</v>
      </c>
      <c r="D250" s="1" t="s">
        <v>15</v>
      </c>
      <c r="E250" s="1" t="s">
        <v>29</v>
      </c>
      <c r="F250" s="1" t="s">
        <v>2489</v>
      </c>
      <c r="G250" s="241" t="str">
        <f t="shared" si="3"/>
        <v>75258</v>
      </c>
      <c r="H250" s="168">
        <v>75</v>
      </c>
      <c r="I250" s="168">
        <v>25</v>
      </c>
      <c r="J250" s="168">
        <v>8</v>
      </c>
      <c r="K250" s="168">
        <v>28</v>
      </c>
      <c r="L250" s="1"/>
    </row>
    <row r="251" spans="1:12" hidden="1">
      <c r="A251" s="30">
        <v>255</v>
      </c>
      <c r="B251" s="1" t="s">
        <v>1965</v>
      </c>
      <c r="C251" s="28" t="s">
        <v>2234</v>
      </c>
      <c r="D251" s="1" t="s">
        <v>15</v>
      </c>
      <c r="E251" s="1" t="s">
        <v>29</v>
      </c>
      <c r="F251" s="1" t="s">
        <v>2490</v>
      </c>
      <c r="G251" s="241" t="str">
        <f t="shared" si="3"/>
        <v>901212</v>
      </c>
      <c r="H251" s="168">
        <v>90</v>
      </c>
      <c r="I251" s="168">
        <v>12</v>
      </c>
      <c r="J251" s="168">
        <v>12</v>
      </c>
      <c r="K251" s="168">
        <v>40</v>
      </c>
      <c r="L251" s="1"/>
    </row>
    <row r="252" spans="1:12" hidden="1">
      <c r="A252" s="30">
        <v>256</v>
      </c>
      <c r="B252" s="1" t="s">
        <v>1966</v>
      </c>
      <c r="C252" s="28" t="s">
        <v>2234</v>
      </c>
      <c r="D252" s="1" t="s">
        <v>15</v>
      </c>
      <c r="E252" s="1" t="s">
        <v>29</v>
      </c>
      <c r="F252" s="1" t="s">
        <v>2491</v>
      </c>
      <c r="G252" s="241" t="str">
        <f t="shared" si="3"/>
        <v>601010</v>
      </c>
      <c r="H252" s="168">
        <v>60</v>
      </c>
      <c r="I252" s="168">
        <v>10</v>
      </c>
      <c r="J252" s="168">
        <v>10</v>
      </c>
      <c r="K252" s="168">
        <v>60</v>
      </c>
      <c r="L252" s="1"/>
    </row>
    <row r="253" spans="1:12" hidden="1">
      <c r="A253" s="30">
        <v>257</v>
      </c>
      <c r="B253" s="1" t="s">
        <v>1967</v>
      </c>
      <c r="C253" s="28" t="s">
        <v>2234</v>
      </c>
      <c r="D253" s="1" t="s">
        <v>15</v>
      </c>
      <c r="E253" s="1" t="s">
        <v>29</v>
      </c>
      <c r="F253" s="1" t="s">
        <v>2492</v>
      </c>
      <c r="G253" s="241" t="str">
        <f t="shared" si="3"/>
        <v>100258</v>
      </c>
      <c r="H253" s="168">
        <v>100</v>
      </c>
      <c r="I253" s="168">
        <v>25</v>
      </c>
      <c r="J253" s="168">
        <v>8</v>
      </c>
      <c r="K253" s="168">
        <v>28</v>
      </c>
      <c r="L253" s="1"/>
    </row>
    <row r="254" spans="1:12">
      <c r="A254" s="30">
        <v>258</v>
      </c>
      <c r="B254" s="1" t="s">
        <v>1968</v>
      </c>
      <c r="C254" s="28" t="s">
        <v>2234</v>
      </c>
      <c r="D254" s="1" t="s">
        <v>15</v>
      </c>
      <c r="E254" s="1" t="s">
        <v>29</v>
      </c>
      <c r="F254" s="1" t="s">
        <v>2972</v>
      </c>
      <c r="G254" s="241" t="str">
        <f t="shared" ref="G254:G317" si="4">H254&amp;I254&amp;J254</f>
        <v>1001212</v>
      </c>
      <c r="H254" s="168">
        <v>100</v>
      </c>
      <c r="I254" s="168">
        <v>12</v>
      </c>
      <c r="J254" s="168">
        <v>12</v>
      </c>
      <c r="K254" s="168">
        <v>32</v>
      </c>
      <c r="L254" s="1"/>
    </row>
    <row r="255" spans="1:12" hidden="1">
      <c r="A255" s="30">
        <v>259</v>
      </c>
      <c r="B255" s="1" t="s">
        <v>1969</v>
      </c>
      <c r="C255" s="28" t="s">
        <v>2234</v>
      </c>
      <c r="D255" s="1" t="s">
        <v>15</v>
      </c>
      <c r="E255" s="1" t="s">
        <v>29</v>
      </c>
      <c r="F255" s="1" t="s">
        <v>2494</v>
      </c>
      <c r="G255" s="241" t="str">
        <f t="shared" si="4"/>
        <v>100206</v>
      </c>
      <c r="H255" s="168">
        <v>100</v>
      </c>
      <c r="I255" s="168">
        <v>20</v>
      </c>
      <c r="J255" s="168">
        <v>6</v>
      </c>
      <c r="K255" s="168">
        <v>30</v>
      </c>
      <c r="L255" s="1"/>
    </row>
    <row r="256" spans="1:12" hidden="1">
      <c r="A256" s="30">
        <v>260</v>
      </c>
      <c r="B256" s="1" t="s">
        <v>1970</v>
      </c>
      <c r="C256" s="28" t="s">
        <v>2234</v>
      </c>
      <c r="D256" s="1" t="s">
        <v>15</v>
      </c>
      <c r="E256" s="1" t="s">
        <v>29</v>
      </c>
      <c r="F256" s="1" t="s">
        <v>2495</v>
      </c>
      <c r="G256" s="241" t="str">
        <f t="shared" si="4"/>
        <v>100207</v>
      </c>
      <c r="H256" s="168">
        <v>100</v>
      </c>
      <c r="I256" s="168">
        <v>20</v>
      </c>
      <c r="J256" s="168">
        <v>7</v>
      </c>
      <c r="K256" s="168">
        <v>30</v>
      </c>
      <c r="L256" s="1"/>
    </row>
    <row r="257" spans="1:12" hidden="1">
      <c r="A257" s="30">
        <v>261</v>
      </c>
      <c r="B257" s="1" t="s">
        <v>1971</v>
      </c>
      <c r="C257" s="28" t="s">
        <v>2234</v>
      </c>
      <c r="D257" s="1" t="s">
        <v>15</v>
      </c>
      <c r="E257" s="1" t="s">
        <v>29</v>
      </c>
      <c r="F257" s="1" t="s">
        <v>2496</v>
      </c>
      <c r="G257" s="241" t="str">
        <f t="shared" si="4"/>
        <v>100208</v>
      </c>
      <c r="H257" s="168">
        <v>100</v>
      </c>
      <c r="I257" s="168">
        <v>20</v>
      </c>
      <c r="J257" s="168">
        <v>8</v>
      </c>
      <c r="K257" s="168">
        <v>24</v>
      </c>
      <c r="L257" s="1"/>
    </row>
    <row r="258" spans="1:12" hidden="1">
      <c r="A258" s="30">
        <v>262</v>
      </c>
      <c r="B258" s="1" t="s">
        <v>1972</v>
      </c>
      <c r="C258" s="28" t="s">
        <v>2234</v>
      </c>
      <c r="D258" s="1" t="s">
        <v>15</v>
      </c>
      <c r="E258" s="1" t="s">
        <v>29</v>
      </c>
      <c r="F258" s="1" t="s">
        <v>2497</v>
      </c>
      <c r="G258" s="241" t="str">
        <f t="shared" si="4"/>
        <v>1002510</v>
      </c>
      <c r="H258" s="168">
        <v>100</v>
      </c>
      <c r="I258" s="168">
        <v>25</v>
      </c>
      <c r="J258" s="168">
        <v>10</v>
      </c>
      <c r="K258" s="168">
        <v>18</v>
      </c>
      <c r="L258" s="1"/>
    </row>
    <row r="259" spans="1:12" hidden="1">
      <c r="A259" s="30">
        <v>263</v>
      </c>
      <c r="B259" s="1" t="s">
        <v>1973</v>
      </c>
      <c r="C259" s="28" t="s">
        <v>2234</v>
      </c>
      <c r="D259" s="1" t="s">
        <v>15</v>
      </c>
      <c r="E259" s="1" t="s">
        <v>29</v>
      </c>
      <c r="F259" s="1" t="s">
        <v>2498</v>
      </c>
      <c r="G259" s="241" t="str">
        <f t="shared" si="4"/>
        <v>1002525</v>
      </c>
      <c r="H259" s="168">
        <v>100</v>
      </c>
      <c r="I259" s="168">
        <v>25</v>
      </c>
      <c r="J259" s="168">
        <v>25</v>
      </c>
      <c r="K259" s="168">
        <v>4</v>
      </c>
      <c r="L259" s="1"/>
    </row>
    <row r="260" spans="1:12" hidden="1">
      <c r="A260" s="30">
        <v>264</v>
      </c>
      <c r="B260" s="1" t="s">
        <v>1974</v>
      </c>
      <c r="C260" s="28" t="s">
        <v>2234</v>
      </c>
      <c r="D260" s="1" t="s">
        <v>15</v>
      </c>
      <c r="E260" s="1" t="s">
        <v>29</v>
      </c>
      <c r="F260" s="1" t="s">
        <v>2499</v>
      </c>
      <c r="G260" s="241" t="str">
        <f t="shared" si="4"/>
        <v>100258</v>
      </c>
      <c r="H260" s="168">
        <v>100</v>
      </c>
      <c r="I260" s="168">
        <v>25</v>
      </c>
      <c r="J260" s="168">
        <v>8</v>
      </c>
      <c r="K260" s="168">
        <v>20</v>
      </c>
      <c r="L260" s="1"/>
    </row>
    <row r="261" spans="1:12" hidden="1">
      <c r="A261" s="30">
        <v>265</v>
      </c>
      <c r="B261" s="1" t="s">
        <v>1975</v>
      </c>
      <c r="C261" s="28" t="s">
        <v>2234</v>
      </c>
      <c r="D261" s="1" t="s">
        <v>15</v>
      </c>
      <c r="E261" s="1" t="s">
        <v>29</v>
      </c>
      <c r="F261" s="1" t="s">
        <v>2500</v>
      </c>
      <c r="G261" s="241" t="str">
        <f t="shared" si="4"/>
        <v>1003010</v>
      </c>
      <c r="H261" s="168">
        <v>100</v>
      </c>
      <c r="I261" s="168">
        <v>30</v>
      </c>
      <c r="J261" s="168">
        <v>10</v>
      </c>
      <c r="K261" s="168">
        <v>16</v>
      </c>
      <c r="L261" s="1"/>
    </row>
    <row r="262" spans="1:12" hidden="1">
      <c r="A262" s="30">
        <v>266</v>
      </c>
      <c r="B262" s="1" t="s">
        <v>1976</v>
      </c>
      <c r="C262" s="28" t="s">
        <v>2234</v>
      </c>
      <c r="D262" s="1" t="s">
        <v>15</v>
      </c>
      <c r="E262" s="1" t="s">
        <v>29</v>
      </c>
      <c r="F262" s="1" t="s">
        <v>2501</v>
      </c>
      <c r="G262" s="241" t="str">
        <f t="shared" si="4"/>
        <v>1501212</v>
      </c>
      <c r="H262" s="168">
        <v>150</v>
      </c>
      <c r="I262" s="168">
        <v>12</v>
      </c>
      <c r="J262" s="168">
        <v>12</v>
      </c>
      <c r="K262" s="168">
        <v>24</v>
      </c>
      <c r="L262" s="1"/>
    </row>
    <row r="263" spans="1:12" hidden="1">
      <c r="A263" s="30">
        <v>267</v>
      </c>
      <c r="B263" s="1" t="s">
        <v>1977</v>
      </c>
      <c r="C263" s="28" t="s">
        <v>2234</v>
      </c>
      <c r="D263" s="1" t="s">
        <v>15</v>
      </c>
      <c r="E263" s="1" t="s">
        <v>29</v>
      </c>
      <c r="F263" s="1" t="s">
        <v>2502</v>
      </c>
      <c r="G263" s="241" t="str">
        <f t="shared" si="4"/>
        <v>1502510</v>
      </c>
      <c r="H263" s="168">
        <v>150</v>
      </c>
      <c r="I263" s="168">
        <v>25</v>
      </c>
      <c r="J263" s="168">
        <v>10</v>
      </c>
      <c r="K263" s="168">
        <v>12</v>
      </c>
      <c r="L263" s="1"/>
    </row>
    <row r="264" spans="1:12" hidden="1">
      <c r="A264" s="30">
        <v>268</v>
      </c>
      <c r="B264" s="1" t="s">
        <v>1978</v>
      </c>
      <c r="C264" s="28" t="s">
        <v>2234</v>
      </c>
      <c r="D264" s="1" t="s">
        <v>15</v>
      </c>
      <c r="E264" s="1" t="s">
        <v>29</v>
      </c>
      <c r="F264" s="1" t="s">
        <v>2503</v>
      </c>
      <c r="G264" s="241" t="str">
        <f t="shared" si="4"/>
        <v>1752525</v>
      </c>
      <c r="H264" s="168">
        <v>175</v>
      </c>
      <c r="I264" s="168">
        <v>25</v>
      </c>
      <c r="J264" s="168">
        <v>25</v>
      </c>
      <c r="K264" s="168">
        <v>4</v>
      </c>
      <c r="L264" s="1"/>
    </row>
    <row r="265" spans="1:12" hidden="1">
      <c r="A265" s="30">
        <v>269</v>
      </c>
      <c r="B265" s="1" t="s">
        <v>1979</v>
      </c>
      <c r="C265" s="28" t="s">
        <v>2234</v>
      </c>
      <c r="D265" s="1" t="s">
        <v>15</v>
      </c>
      <c r="E265" s="1" t="s">
        <v>29</v>
      </c>
      <c r="F265" s="1" t="s">
        <v>2504</v>
      </c>
      <c r="G265" s="241" t="str">
        <f t="shared" si="4"/>
        <v>1903535</v>
      </c>
      <c r="H265" s="168">
        <v>190</v>
      </c>
      <c r="I265" s="168">
        <v>35</v>
      </c>
      <c r="J265" s="168">
        <v>35</v>
      </c>
      <c r="K265" s="168">
        <v>2</v>
      </c>
      <c r="L265" s="1"/>
    </row>
    <row r="266" spans="1:12" hidden="1">
      <c r="A266" s="30">
        <v>270</v>
      </c>
      <c r="B266" s="1" t="s">
        <v>1980</v>
      </c>
      <c r="C266" s="28" t="s">
        <v>2234</v>
      </c>
      <c r="D266" s="1" t="s">
        <v>15</v>
      </c>
      <c r="E266" s="1" t="s">
        <v>29</v>
      </c>
      <c r="F266" s="1" t="s">
        <v>2505</v>
      </c>
      <c r="G266" s="241" t="str">
        <f t="shared" si="4"/>
        <v>2002510</v>
      </c>
      <c r="H266" s="168">
        <v>200</v>
      </c>
      <c r="I266" s="168">
        <v>25</v>
      </c>
      <c r="J266" s="168">
        <v>10</v>
      </c>
      <c r="K266" s="168">
        <v>10</v>
      </c>
      <c r="L266" s="1"/>
    </row>
    <row r="267" spans="1:12" hidden="1">
      <c r="A267" s="30">
        <v>271</v>
      </c>
      <c r="B267" s="1" t="s">
        <v>1981</v>
      </c>
      <c r="C267" s="28" t="s">
        <v>2234</v>
      </c>
      <c r="D267" s="1" t="s">
        <v>15</v>
      </c>
      <c r="E267" s="1" t="s">
        <v>29</v>
      </c>
      <c r="F267" s="1" t="s">
        <v>2506</v>
      </c>
      <c r="G267" s="241" t="str">
        <f t="shared" si="4"/>
        <v>251212</v>
      </c>
      <c r="H267" s="168">
        <v>25</v>
      </c>
      <c r="I267" s="168">
        <v>12</v>
      </c>
      <c r="J267" s="168">
        <v>12</v>
      </c>
      <c r="K267" s="168">
        <v>128</v>
      </c>
      <c r="L267" s="1"/>
    </row>
    <row r="268" spans="1:12" hidden="1">
      <c r="A268" s="30">
        <v>272</v>
      </c>
      <c r="B268" s="1" t="s">
        <v>1982</v>
      </c>
      <c r="C268" s="28" t="s">
        <v>2234</v>
      </c>
      <c r="D268" s="1" t="s">
        <v>15</v>
      </c>
      <c r="E268" s="1" t="s">
        <v>29</v>
      </c>
      <c r="F268" s="1" t="s">
        <v>2507</v>
      </c>
      <c r="G268" s="241" t="str">
        <f t="shared" si="4"/>
        <v>351212</v>
      </c>
      <c r="H268" s="168">
        <v>35</v>
      </c>
      <c r="I268" s="168">
        <v>12</v>
      </c>
      <c r="J268" s="168">
        <v>12</v>
      </c>
      <c r="K268" s="168">
        <v>105</v>
      </c>
      <c r="L268" s="1"/>
    </row>
    <row r="269" spans="1:12" hidden="1">
      <c r="A269" s="30">
        <v>273</v>
      </c>
      <c r="B269" s="1" t="s">
        <v>1983</v>
      </c>
      <c r="C269" s="28" t="s">
        <v>2234</v>
      </c>
      <c r="D269" s="1" t="s">
        <v>15</v>
      </c>
      <c r="E269" s="1" t="s">
        <v>29</v>
      </c>
      <c r="F269" s="1" t="s">
        <v>2508</v>
      </c>
      <c r="G269" s="241" t="str">
        <f t="shared" si="4"/>
        <v>501212</v>
      </c>
      <c r="H269" s="168">
        <v>50</v>
      </c>
      <c r="I269" s="168">
        <v>12</v>
      </c>
      <c r="J269" s="168">
        <v>12</v>
      </c>
      <c r="K269" s="168">
        <v>64</v>
      </c>
      <c r="L269" s="1"/>
    </row>
    <row r="270" spans="1:12" hidden="1">
      <c r="A270" s="30">
        <v>274</v>
      </c>
      <c r="B270" s="1" t="s">
        <v>1984</v>
      </c>
      <c r="C270" s="28" t="s">
        <v>2234</v>
      </c>
      <c r="D270" s="1" t="s">
        <v>15</v>
      </c>
      <c r="E270" s="1" t="s">
        <v>29</v>
      </c>
      <c r="F270" s="1" t="s">
        <v>2509</v>
      </c>
      <c r="G270" s="241" t="str">
        <f t="shared" si="4"/>
        <v>502510</v>
      </c>
      <c r="H270" s="168">
        <v>50</v>
      </c>
      <c r="I270" s="168">
        <v>25</v>
      </c>
      <c r="J270" s="168">
        <v>10</v>
      </c>
      <c r="K270" s="168">
        <v>36</v>
      </c>
      <c r="L270" s="1"/>
    </row>
    <row r="271" spans="1:12" hidden="1">
      <c r="A271" s="30">
        <v>275</v>
      </c>
      <c r="B271" s="1" t="s">
        <v>1985</v>
      </c>
      <c r="C271" s="28" t="s">
        <v>2234</v>
      </c>
      <c r="D271" s="1" t="s">
        <v>15</v>
      </c>
      <c r="E271" s="1" t="s">
        <v>29</v>
      </c>
      <c r="F271" s="1" t="s">
        <v>2510</v>
      </c>
      <c r="G271" s="241" t="str">
        <f t="shared" si="4"/>
        <v>502525</v>
      </c>
      <c r="H271" s="168">
        <v>50</v>
      </c>
      <c r="I271" s="168">
        <v>25</v>
      </c>
      <c r="J271" s="168">
        <v>25</v>
      </c>
      <c r="K271" s="168">
        <v>5</v>
      </c>
      <c r="L271" s="1"/>
    </row>
    <row r="272" spans="1:12" hidden="1">
      <c r="A272" s="30">
        <v>276</v>
      </c>
      <c r="B272" s="1" t="s">
        <v>1986</v>
      </c>
      <c r="C272" s="28" t="s">
        <v>2234</v>
      </c>
      <c r="D272" s="1" t="s">
        <v>15</v>
      </c>
      <c r="E272" s="1" t="s">
        <v>29</v>
      </c>
      <c r="F272" s="1" t="s">
        <v>2511</v>
      </c>
      <c r="G272" s="241" t="str">
        <f t="shared" si="4"/>
        <v>705050</v>
      </c>
      <c r="H272" s="168">
        <v>70</v>
      </c>
      <c r="I272" s="168">
        <v>50</v>
      </c>
      <c r="J272" s="168">
        <v>50</v>
      </c>
      <c r="K272" s="168">
        <v>2</v>
      </c>
      <c r="L272" s="1"/>
    </row>
    <row r="273" spans="1:12" hidden="1">
      <c r="A273" s="30">
        <v>277</v>
      </c>
      <c r="B273" s="1" t="s">
        <v>1987</v>
      </c>
      <c r="C273" s="28" t="s">
        <v>2234</v>
      </c>
      <c r="D273" s="1" t="s">
        <v>15</v>
      </c>
      <c r="E273" s="1" t="s">
        <v>29</v>
      </c>
      <c r="F273" s="1" t="s">
        <v>2512</v>
      </c>
      <c r="G273" s="241" t="str">
        <f t="shared" si="4"/>
        <v>751212</v>
      </c>
      <c r="H273" s="168">
        <v>75</v>
      </c>
      <c r="I273" s="168">
        <v>12</v>
      </c>
      <c r="J273" s="168">
        <v>12</v>
      </c>
      <c r="K273" s="168">
        <v>45</v>
      </c>
      <c r="L273" s="1"/>
    </row>
    <row r="274" spans="1:12" hidden="1">
      <c r="A274" s="30">
        <v>278</v>
      </c>
      <c r="B274" s="1" t="s">
        <v>1988</v>
      </c>
      <c r="C274" s="28" t="s">
        <v>2234</v>
      </c>
      <c r="D274" s="1" t="s">
        <v>15</v>
      </c>
      <c r="E274" s="1" t="s">
        <v>29</v>
      </c>
      <c r="F274" s="1" t="s">
        <v>2513</v>
      </c>
      <c r="G274" s="241" t="str">
        <f t="shared" si="4"/>
        <v>752510</v>
      </c>
      <c r="H274" s="168">
        <v>75</v>
      </c>
      <c r="I274" s="168">
        <v>25</v>
      </c>
      <c r="J274" s="168">
        <v>10</v>
      </c>
      <c r="K274" s="168">
        <v>20</v>
      </c>
      <c r="L274" s="1"/>
    </row>
    <row r="275" spans="1:12" hidden="1">
      <c r="A275" s="30">
        <v>279</v>
      </c>
      <c r="B275" s="1" t="s">
        <v>1989</v>
      </c>
      <c r="C275" s="28" t="s">
        <v>2234</v>
      </c>
      <c r="D275" s="1" t="s">
        <v>15</v>
      </c>
      <c r="E275" s="1" t="s">
        <v>29</v>
      </c>
      <c r="F275" s="1" t="s">
        <v>2514</v>
      </c>
      <c r="G275" s="241" t="str">
        <f t="shared" si="4"/>
        <v>752525</v>
      </c>
      <c r="H275" s="168">
        <v>75</v>
      </c>
      <c r="I275" s="168">
        <v>25</v>
      </c>
      <c r="J275" s="168">
        <v>25</v>
      </c>
      <c r="K275" s="168">
        <v>7</v>
      </c>
      <c r="L275" s="1"/>
    </row>
    <row r="276" spans="1:12" hidden="1">
      <c r="A276" s="30">
        <v>280</v>
      </c>
      <c r="B276" s="1" t="s">
        <v>1990</v>
      </c>
      <c r="C276" s="28" t="s">
        <v>2234</v>
      </c>
      <c r="D276" s="1" t="s">
        <v>15</v>
      </c>
      <c r="E276" s="1" t="s">
        <v>29</v>
      </c>
      <c r="F276" s="1" t="s">
        <v>2515</v>
      </c>
      <c r="G276" s="241" t="str">
        <f t="shared" si="4"/>
        <v>1002812</v>
      </c>
      <c r="H276" s="168">
        <v>100</v>
      </c>
      <c r="I276" s="168">
        <v>28</v>
      </c>
      <c r="J276" s="168">
        <v>12</v>
      </c>
      <c r="K276" s="168">
        <v>16</v>
      </c>
      <c r="L276" s="1"/>
    </row>
    <row r="277" spans="1:12" hidden="1">
      <c r="A277" s="30">
        <v>281</v>
      </c>
      <c r="B277" s="1" t="s">
        <v>1991</v>
      </c>
      <c r="C277" s="28" t="s">
        <v>2234</v>
      </c>
      <c r="D277" s="1" t="s">
        <v>15</v>
      </c>
      <c r="E277" s="1" t="s">
        <v>29</v>
      </c>
      <c r="F277" s="1" t="s">
        <v>2516</v>
      </c>
      <c r="G277" s="241" t="str">
        <f t="shared" si="4"/>
        <v>121.42010.2</v>
      </c>
      <c r="H277" s="168">
        <v>121.4</v>
      </c>
      <c r="I277" s="168">
        <v>20</v>
      </c>
      <c r="J277" s="168">
        <v>10.199999999999999</v>
      </c>
      <c r="K277" s="168">
        <v>12</v>
      </c>
      <c r="L277" s="1"/>
    </row>
    <row r="278" spans="1:12" hidden="1">
      <c r="A278" s="30">
        <v>282</v>
      </c>
      <c r="B278" s="1" t="s">
        <v>1992</v>
      </c>
      <c r="C278" s="28" t="s">
        <v>2234</v>
      </c>
      <c r="D278" s="1" t="s">
        <v>15</v>
      </c>
      <c r="E278" s="1" t="s">
        <v>29</v>
      </c>
      <c r="F278" s="1" t="s">
        <v>2517</v>
      </c>
      <c r="G278" s="241" t="str">
        <f t="shared" si="4"/>
        <v>132.135.68</v>
      </c>
      <c r="H278" s="168">
        <v>132.1</v>
      </c>
      <c r="I278" s="168">
        <v>35.6</v>
      </c>
      <c r="J278" s="168">
        <v>8</v>
      </c>
      <c r="K278" s="168">
        <v>11</v>
      </c>
      <c r="L278" s="1"/>
    </row>
    <row r="279" spans="1:12" hidden="1">
      <c r="A279" s="30">
        <v>283</v>
      </c>
      <c r="B279" s="1" t="s">
        <v>1993</v>
      </c>
      <c r="C279" s="28" t="s">
        <v>2234</v>
      </c>
      <c r="D279" s="1" t="s">
        <v>15</v>
      </c>
      <c r="E279" s="1" t="s">
        <v>29</v>
      </c>
      <c r="F279" s="1" t="s">
        <v>2518</v>
      </c>
      <c r="G279" s="241" t="str">
        <f t="shared" si="4"/>
        <v>6140.65</v>
      </c>
      <c r="H279" s="168">
        <v>61</v>
      </c>
      <c r="I279" s="168">
        <v>40.6</v>
      </c>
      <c r="J279" s="168">
        <v>5</v>
      </c>
      <c r="K279" s="168">
        <v>20</v>
      </c>
      <c r="L279" s="1"/>
    </row>
    <row r="280" spans="1:12" hidden="1">
      <c r="A280" s="30">
        <v>284</v>
      </c>
      <c r="B280" s="1" t="s">
        <v>1994</v>
      </c>
      <c r="C280" s="28" t="s">
        <v>2234</v>
      </c>
      <c r="D280" s="1" t="s">
        <v>13</v>
      </c>
      <c r="E280" s="1" t="s">
        <v>10</v>
      </c>
      <c r="F280" s="1" t="s">
        <v>2519</v>
      </c>
      <c r="G280" s="241" t="str">
        <f t="shared" si="4"/>
        <v>100503</v>
      </c>
      <c r="H280" s="168">
        <v>100</v>
      </c>
      <c r="I280" s="168">
        <v>50</v>
      </c>
      <c r="J280" s="168">
        <v>3</v>
      </c>
      <c r="K280" s="168">
        <v>20</v>
      </c>
      <c r="L280" s="1"/>
    </row>
    <row r="281" spans="1:12" hidden="1">
      <c r="A281" s="30">
        <v>285</v>
      </c>
      <c r="B281" s="1" t="s">
        <v>1995</v>
      </c>
      <c r="C281" s="28" t="s">
        <v>2234</v>
      </c>
      <c r="D281" s="1" t="s">
        <v>13</v>
      </c>
      <c r="E281" s="1" t="s">
        <v>10</v>
      </c>
      <c r="F281" s="1" t="s">
        <v>2520</v>
      </c>
      <c r="G281" s="241" t="str">
        <f t="shared" si="4"/>
        <v>104.168.64</v>
      </c>
      <c r="H281" s="168">
        <v>104.1</v>
      </c>
      <c r="I281" s="168">
        <v>68.599999999999994</v>
      </c>
      <c r="J281" s="168">
        <v>4</v>
      </c>
      <c r="K281" s="168">
        <v>12</v>
      </c>
      <c r="L281" s="1"/>
    </row>
    <row r="282" spans="1:12" hidden="1">
      <c r="A282" s="30">
        <v>286</v>
      </c>
      <c r="B282" s="1" t="s">
        <v>1996</v>
      </c>
      <c r="C282" s="28" t="s">
        <v>2234</v>
      </c>
      <c r="D282" s="1" t="s">
        <v>13</v>
      </c>
      <c r="E282" s="1" t="s">
        <v>10</v>
      </c>
      <c r="F282" s="1" t="s">
        <v>2521</v>
      </c>
      <c r="G282" s="241" t="str">
        <f t="shared" si="4"/>
        <v>106.7615</v>
      </c>
      <c r="H282" s="168">
        <v>106.7</v>
      </c>
      <c r="I282" s="168">
        <v>61</v>
      </c>
      <c r="J282" s="168">
        <v>5</v>
      </c>
      <c r="K282" s="168">
        <v>10</v>
      </c>
      <c r="L282" s="1"/>
    </row>
    <row r="283" spans="1:12" hidden="1">
      <c r="A283" s="30">
        <v>287</v>
      </c>
      <c r="B283" s="1" t="s">
        <v>1997</v>
      </c>
      <c r="C283" s="28" t="s">
        <v>2234</v>
      </c>
      <c r="D283" s="1" t="s">
        <v>13</v>
      </c>
      <c r="E283" s="1" t="s">
        <v>10</v>
      </c>
      <c r="F283" s="1" t="s">
        <v>2522</v>
      </c>
      <c r="G283" s="241" t="str">
        <f t="shared" si="4"/>
        <v>106.768.64</v>
      </c>
      <c r="H283" s="168">
        <v>106.7</v>
      </c>
      <c r="I283" s="168">
        <v>68.599999999999994</v>
      </c>
      <c r="J283" s="168">
        <v>4</v>
      </c>
      <c r="K283" s="168">
        <v>10</v>
      </c>
      <c r="L283" s="1"/>
    </row>
    <row r="284" spans="1:12" hidden="1">
      <c r="A284" s="30">
        <v>288</v>
      </c>
      <c r="B284" s="1" t="s">
        <v>1998</v>
      </c>
      <c r="C284" s="28" t="s">
        <v>2234</v>
      </c>
      <c r="D284" s="1" t="s">
        <v>13</v>
      </c>
      <c r="E284" s="1" t="s">
        <v>10</v>
      </c>
      <c r="F284" s="1" t="s">
        <v>2523</v>
      </c>
      <c r="G284" s="241" t="str">
        <f t="shared" si="4"/>
        <v>12.77.63</v>
      </c>
      <c r="H284" s="168">
        <v>12.7</v>
      </c>
      <c r="I284" s="168">
        <v>7.6</v>
      </c>
      <c r="J284" s="168">
        <v>3</v>
      </c>
      <c r="K284" s="168">
        <v>60</v>
      </c>
      <c r="L284" s="1"/>
    </row>
    <row r="285" spans="1:12" hidden="1">
      <c r="A285" s="30">
        <v>289</v>
      </c>
      <c r="B285" s="1" t="s">
        <v>1999</v>
      </c>
      <c r="C285" s="28" t="s">
        <v>2234</v>
      </c>
      <c r="D285" s="1" t="s">
        <v>13</v>
      </c>
      <c r="E285" s="1" t="s">
        <v>10</v>
      </c>
      <c r="F285" s="1" t="s">
        <v>2524</v>
      </c>
      <c r="G285" s="241" t="str">
        <f t="shared" si="4"/>
        <v>121.432.53</v>
      </c>
      <c r="H285" s="168">
        <v>121.4</v>
      </c>
      <c r="I285" s="168">
        <v>32.5</v>
      </c>
      <c r="J285" s="168">
        <v>3</v>
      </c>
      <c r="K285" s="168">
        <v>33</v>
      </c>
      <c r="L285" s="1"/>
    </row>
    <row r="286" spans="1:12" hidden="1">
      <c r="A286" s="30">
        <v>290</v>
      </c>
      <c r="B286" s="1" t="s">
        <v>2000</v>
      </c>
      <c r="C286" s="28" t="s">
        <v>2234</v>
      </c>
      <c r="D286" s="1" t="s">
        <v>13</v>
      </c>
      <c r="E286" s="1" t="s">
        <v>10</v>
      </c>
      <c r="F286" s="1" t="s">
        <v>2525</v>
      </c>
      <c r="G286" s="241" t="str">
        <f t="shared" si="4"/>
        <v>121.441.83</v>
      </c>
      <c r="H286" s="168">
        <v>121.4</v>
      </c>
      <c r="I286" s="168">
        <v>41.8</v>
      </c>
      <c r="J286" s="168">
        <v>3</v>
      </c>
      <c r="K286" s="168">
        <v>33</v>
      </c>
      <c r="L286" s="1"/>
    </row>
    <row r="287" spans="1:12" hidden="1">
      <c r="A287" s="30">
        <v>291</v>
      </c>
      <c r="B287" s="1" t="s">
        <v>2001</v>
      </c>
      <c r="C287" s="28" t="s">
        <v>2234</v>
      </c>
      <c r="D287" s="1" t="s">
        <v>13</v>
      </c>
      <c r="E287" s="1" t="s">
        <v>10</v>
      </c>
      <c r="F287" s="1" t="s">
        <v>2526</v>
      </c>
      <c r="G287" s="241" t="str">
        <f t="shared" si="4"/>
        <v>121.463.33</v>
      </c>
      <c r="H287" s="168">
        <v>121.4</v>
      </c>
      <c r="I287" s="168">
        <v>63.3</v>
      </c>
      <c r="J287" s="168">
        <v>3</v>
      </c>
      <c r="K287" s="168">
        <v>23</v>
      </c>
      <c r="L287" s="1"/>
    </row>
    <row r="288" spans="1:12" hidden="1">
      <c r="A288" s="30">
        <v>292</v>
      </c>
      <c r="B288" s="1" t="s">
        <v>2002</v>
      </c>
      <c r="C288" s="28" t="s">
        <v>2234</v>
      </c>
      <c r="D288" s="1" t="s">
        <v>13</v>
      </c>
      <c r="E288" s="1" t="s">
        <v>10</v>
      </c>
      <c r="F288" s="1" t="s">
        <v>2527</v>
      </c>
      <c r="G288" s="241" t="str">
        <f t="shared" si="4"/>
        <v>121.467.53</v>
      </c>
      <c r="H288" s="168">
        <v>121.4</v>
      </c>
      <c r="I288" s="168">
        <v>67.5</v>
      </c>
      <c r="J288" s="168">
        <v>3</v>
      </c>
      <c r="K288" s="168">
        <v>23</v>
      </c>
      <c r="L288" s="1"/>
    </row>
    <row r="289" spans="1:12" hidden="1">
      <c r="A289" s="30">
        <v>293</v>
      </c>
      <c r="B289" s="1" t="s">
        <v>2003</v>
      </c>
      <c r="C289" s="28" t="s">
        <v>2234</v>
      </c>
      <c r="D289" s="1" t="s">
        <v>13</v>
      </c>
      <c r="E289" s="1" t="s">
        <v>10</v>
      </c>
      <c r="F289" s="1" t="s">
        <v>2528</v>
      </c>
      <c r="G289" s="241" t="str">
        <f t="shared" si="4"/>
        <v>121.968.68</v>
      </c>
      <c r="H289" s="168">
        <v>121.9</v>
      </c>
      <c r="I289" s="168">
        <v>68.599999999999994</v>
      </c>
      <c r="J289" s="168">
        <v>8</v>
      </c>
      <c r="K289" s="168">
        <v>6</v>
      </c>
      <c r="L289" s="1"/>
    </row>
    <row r="290" spans="1:12" hidden="1">
      <c r="A290" s="30">
        <v>294</v>
      </c>
      <c r="B290" s="1" t="s">
        <v>2004</v>
      </c>
      <c r="C290" s="28" t="s">
        <v>2234</v>
      </c>
      <c r="D290" s="1" t="s">
        <v>13</v>
      </c>
      <c r="E290" s="1" t="s">
        <v>10</v>
      </c>
      <c r="F290" s="1" t="s">
        <v>2529</v>
      </c>
      <c r="G290" s="241" t="str">
        <f t="shared" si="4"/>
        <v>149.5618</v>
      </c>
      <c r="H290" s="168">
        <v>149.5</v>
      </c>
      <c r="I290" s="168">
        <v>61</v>
      </c>
      <c r="J290" s="168">
        <v>8</v>
      </c>
      <c r="K290" s="168">
        <v>5</v>
      </c>
      <c r="L290" s="1"/>
    </row>
    <row r="291" spans="1:12" hidden="1">
      <c r="A291" s="30">
        <v>295</v>
      </c>
      <c r="B291" s="1" t="s">
        <v>2005</v>
      </c>
      <c r="C291" s="28" t="s">
        <v>2234</v>
      </c>
      <c r="D291" s="1" t="s">
        <v>13</v>
      </c>
      <c r="E291" s="1" t="s">
        <v>10</v>
      </c>
      <c r="F291" s="1" t="s">
        <v>2530</v>
      </c>
      <c r="G291" s="241" t="str">
        <f t="shared" si="4"/>
        <v>152.462.210</v>
      </c>
      <c r="H291" s="168">
        <v>152.4</v>
      </c>
      <c r="I291" s="168">
        <v>62.2</v>
      </c>
      <c r="J291" s="168">
        <v>10</v>
      </c>
      <c r="K291" s="168">
        <v>4</v>
      </c>
      <c r="L291" s="1"/>
    </row>
    <row r="292" spans="1:12" hidden="1">
      <c r="A292" s="30">
        <v>296</v>
      </c>
      <c r="B292" s="1" t="s">
        <v>2006</v>
      </c>
      <c r="C292" s="28" t="s">
        <v>2234</v>
      </c>
      <c r="D292" s="1" t="s">
        <v>13</v>
      </c>
      <c r="E292" s="1" t="s">
        <v>10</v>
      </c>
      <c r="F292" s="1" t="s">
        <v>2531</v>
      </c>
      <c r="G292" s="241" t="str">
        <f t="shared" si="4"/>
        <v>152.4664</v>
      </c>
      <c r="H292" s="168">
        <v>152.4</v>
      </c>
      <c r="I292" s="168">
        <v>66</v>
      </c>
      <c r="J292" s="168">
        <v>4</v>
      </c>
      <c r="K292" s="168">
        <v>7</v>
      </c>
      <c r="L292" s="1"/>
    </row>
    <row r="293" spans="1:12" hidden="1">
      <c r="A293" s="30">
        <v>297</v>
      </c>
      <c r="B293" s="1" t="s">
        <v>2007</v>
      </c>
      <c r="C293" s="28" t="s">
        <v>2234</v>
      </c>
      <c r="D293" s="1" t="s">
        <v>18</v>
      </c>
      <c r="E293" s="1" t="s">
        <v>10</v>
      </c>
      <c r="F293" s="1" t="s">
        <v>2532</v>
      </c>
      <c r="G293" s="241" t="str">
        <f t="shared" si="4"/>
        <v>2062</v>
      </c>
      <c r="H293" s="168">
        <v>20</v>
      </c>
      <c r="I293" s="168">
        <v>6</v>
      </c>
      <c r="J293" s="168">
        <v>2</v>
      </c>
      <c r="K293" s="168">
        <v>40</v>
      </c>
      <c r="L293" s="1"/>
    </row>
    <row r="294" spans="1:12" hidden="1">
      <c r="A294" s="30">
        <v>298</v>
      </c>
      <c r="B294" s="1" t="s">
        <v>2008</v>
      </c>
      <c r="C294" s="28" t="s">
        <v>2234</v>
      </c>
      <c r="D294" s="1" t="s">
        <v>13</v>
      </c>
      <c r="E294" s="1" t="s">
        <v>10</v>
      </c>
      <c r="F294" s="1" t="s">
        <v>2533</v>
      </c>
      <c r="G294" s="241" t="str">
        <f t="shared" si="4"/>
        <v>30303</v>
      </c>
      <c r="H294" s="168">
        <v>30</v>
      </c>
      <c r="I294" s="168">
        <v>30</v>
      </c>
      <c r="J294" s="168">
        <v>3</v>
      </c>
      <c r="K294" s="168">
        <v>100</v>
      </c>
      <c r="L294" s="1"/>
    </row>
    <row r="295" spans="1:12" hidden="1">
      <c r="A295" s="30">
        <v>299</v>
      </c>
      <c r="B295" s="1" t="s">
        <v>2009</v>
      </c>
      <c r="C295" s="28" t="s">
        <v>2234</v>
      </c>
      <c r="D295" s="1" t="s">
        <v>13</v>
      </c>
      <c r="E295" s="1" t="s">
        <v>10</v>
      </c>
      <c r="F295" s="1" t="s">
        <v>2534</v>
      </c>
      <c r="G295" s="241" t="str">
        <f t="shared" si="4"/>
        <v>37.631.63</v>
      </c>
      <c r="H295" s="168">
        <v>37.6</v>
      </c>
      <c r="I295" s="168">
        <v>31.6</v>
      </c>
      <c r="J295" s="168">
        <v>3</v>
      </c>
      <c r="K295" s="168">
        <v>33</v>
      </c>
      <c r="L295" s="1"/>
    </row>
    <row r="296" spans="1:12" hidden="1">
      <c r="A296" s="30">
        <v>300</v>
      </c>
      <c r="B296" s="1" t="s">
        <v>2010</v>
      </c>
      <c r="C296" s="28" t="s">
        <v>2234</v>
      </c>
      <c r="D296" s="1" t="s">
        <v>13</v>
      </c>
      <c r="E296" s="1" t="s">
        <v>10</v>
      </c>
      <c r="F296" s="1" t="s">
        <v>2535</v>
      </c>
      <c r="G296" s="241" t="str">
        <f t="shared" si="4"/>
        <v>3919.56</v>
      </c>
      <c r="H296" s="168">
        <v>39</v>
      </c>
      <c r="I296" s="168">
        <v>19.5</v>
      </c>
      <c r="J296" s="168">
        <v>6</v>
      </c>
      <c r="K296" s="168">
        <v>96</v>
      </c>
      <c r="L296" s="1"/>
    </row>
    <row r="297" spans="1:12" hidden="1">
      <c r="A297" s="30">
        <v>301</v>
      </c>
      <c r="B297" s="1" t="s">
        <v>2011</v>
      </c>
      <c r="C297" s="28" t="s">
        <v>2234</v>
      </c>
      <c r="D297" s="1" t="s">
        <v>13</v>
      </c>
      <c r="E297" s="1" t="s">
        <v>10</v>
      </c>
      <c r="F297" s="1" t="s">
        <v>2536</v>
      </c>
      <c r="G297" s="241" t="str">
        <f t="shared" si="4"/>
        <v>41.829.43</v>
      </c>
      <c r="H297" s="168">
        <v>41.8</v>
      </c>
      <c r="I297" s="168">
        <v>29.4</v>
      </c>
      <c r="J297" s="168">
        <v>3</v>
      </c>
      <c r="K297" s="168">
        <v>33</v>
      </c>
      <c r="L297" s="1"/>
    </row>
    <row r="298" spans="1:12" hidden="1">
      <c r="A298" s="30">
        <v>302</v>
      </c>
      <c r="B298" s="1" t="s">
        <v>2012</v>
      </c>
      <c r="C298" s="28" t="s">
        <v>2234</v>
      </c>
      <c r="D298" s="1" t="s">
        <v>13</v>
      </c>
      <c r="E298" s="1" t="s">
        <v>10</v>
      </c>
      <c r="F298" s="1" t="s">
        <v>2537</v>
      </c>
      <c r="G298" s="241" t="str">
        <f t="shared" si="4"/>
        <v>41.839.53</v>
      </c>
      <c r="H298" s="168">
        <v>41.8</v>
      </c>
      <c r="I298" s="168">
        <v>39.5</v>
      </c>
      <c r="J298" s="168">
        <v>3</v>
      </c>
      <c r="K298" s="168">
        <v>33</v>
      </c>
      <c r="L298" s="1"/>
    </row>
    <row r="299" spans="1:12" hidden="1">
      <c r="A299" s="30">
        <v>303</v>
      </c>
      <c r="B299" s="1" t="s">
        <v>2013</v>
      </c>
      <c r="C299" s="28" t="s">
        <v>2234</v>
      </c>
      <c r="D299" s="1" t="s">
        <v>18</v>
      </c>
      <c r="E299" s="1" t="s">
        <v>10</v>
      </c>
      <c r="F299" s="1" t="s">
        <v>2538</v>
      </c>
      <c r="G299" s="241" t="str">
        <f t="shared" si="4"/>
        <v>45.791.42</v>
      </c>
      <c r="H299" s="168">
        <v>45.7</v>
      </c>
      <c r="I299" s="168">
        <v>91.4</v>
      </c>
      <c r="J299" s="168">
        <v>2</v>
      </c>
      <c r="K299" s="168">
        <v>25</v>
      </c>
      <c r="L299" s="1"/>
    </row>
    <row r="300" spans="1:12" hidden="1">
      <c r="A300" s="30">
        <v>304</v>
      </c>
      <c r="B300" s="1" t="s">
        <v>2014</v>
      </c>
      <c r="C300" s="28" t="s">
        <v>2234</v>
      </c>
      <c r="D300" s="1" t="s">
        <v>13</v>
      </c>
      <c r="E300" s="1" t="s">
        <v>10</v>
      </c>
      <c r="F300" s="1" t="s">
        <v>2539</v>
      </c>
      <c r="G300" s="241" t="str">
        <f t="shared" si="4"/>
        <v>45.791.44</v>
      </c>
      <c r="H300" s="168">
        <v>45.7</v>
      </c>
      <c r="I300" s="168">
        <v>91.4</v>
      </c>
      <c r="J300" s="168">
        <v>4</v>
      </c>
      <c r="K300" s="168">
        <v>15</v>
      </c>
      <c r="L300" s="1"/>
    </row>
    <row r="301" spans="1:12" hidden="1">
      <c r="A301" s="30">
        <v>305</v>
      </c>
      <c r="B301" s="1" t="s">
        <v>2015</v>
      </c>
      <c r="C301" s="28" t="s">
        <v>2234</v>
      </c>
      <c r="D301" s="1" t="s">
        <v>13</v>
      </c>
      <c r="E301" s="1" t="s">
        <v>10</v>
      </c>
      <c r="F301" s="1" t="s">
        <v>2540</v>
      </c>
      <c r="G301" s="241" t="str">
        <f t="shared" si="4"/>
        <v>45903</v>
      </c>
      <c r="H301" s="168">
        <v>45</v>
      </c>
      <c r="I301" s="168">
        <v>90</v>
      </c>
      <c r="J301" s="168">
        <v>3</v>
      </c>
      <c r="K301" s="168">
        <v>30</v>
      </c>
      <c r="L301" s="1"/>
    </row>
    <row r="302" spans="1:12" hidden="1">
      <c r="A302" s="30">
        <v>306</v>
      </c>
      <c r="B302" s="1" t="s">
        <v>2016</v>
      </c>
      <c r="C302" s="28" t="s">
        <v>2234</v>
      </c>
      <c r="D302" s="1" t="s">
        <v>13</v>
      </c>
      <c r="E302" s="1" t="s">
        <v>10</v>
      </c>
      <c r="F302" s="1" t="s">
        <v>2541</v>
      </c>
      <c r="G302" s="241" t="str">
        <f t="shared" si="4"/>
        <v>50504</v>
      </c>
      <c r="H302" s="168">
        <v>50</v>
      </c>
      <c r="I302" s="168">
        <v>50</v>
      </c>
      <c r="J302" s="168">
        <v>4</v>
      </c>
      <c r="K302" s="168">
        <v>2</v>
      </c>
      <c r="L302" s="1"/>
    </row>
    <row r="303" spans="1:12" hidden="1">
      <c r="A303" s="30">
        <v>307</v>
      </c>
      <c r="B303" s="1" t="s">
        <v>2017</v>
      </c>
      <c r="C303" s="28" t="s">
        <v>2234</v>
      </c>
      <c r="D303" s="1" t="s">
        <v>13</v>
      </c>
      <c r="E303" s="1" t="s">
        <v>10</v>
      </c>
      <c r="F303" s="1" t="s">
        <v>2542</v>
      </c>
      <c r="G303" s="241" t="str">
        <f t="shared" si="4"/>
        <v>60303</v>
      </c>
      <c r="H303" s="168">
        <v>60</v>
      </c>
      <c r="I303" s="168">
        <v>30</v>
      </c>
      <c r="J303" s="168">
        <v>3</v>
      </c>
      <c r="K303" s="168">
        <v>60</v>
      </c>
      <c r="L303" s="1"/>
    </row>
    <row r="304" spans="1:12" hidden="1">
      <c r="A304" s="30">
        <v>308</v>
      </c>
      <c r="B304" s="1" t="s">
        <v>2018</v>
      </c>
      <c r="C304" s="28" t="s">
        <v>2234</v>
      </c>
      <c r="D304" s="1" t="s">
        <v>13</v>
      </c>
      <c r="E304" s="1" t="s">
        <v>10</v>
      </c>
      <c r="F304" s="1" t="s">
        <v>2543</v>
      </c>
      <c r="G304" s="241" t="str">
        <f t="shared" si="4"/>
        <v>60603</v>
      </c>
      <c r="H304" s="168">
        <v>60</v>
      </c>
      <c r="I304" s="168">
        <v>60</v>
      </c>
      <c r="J304" s="168">
        <v>3</v>
      </c>
      <c r="K304" s="168">
        <v>13</v>
      </c>
      <c r="L304" s="1"/>
    </row>
    <row r="305" spans="1:12" hidden="1">
      <c r="A305" s="30">
        <v>309</v>
      </c>
      <c r="B305" s="1" t="s">
        <v>2019</v>
      </c>
      <c r="C305" s="28" t="s">
        <v>2234</v>
      </c>
      <c r="D305" s="1" t="s">
        <v>18</v>
      </c>
      <c r="E305" s="1" t="s">
        <v>10</v>
      </c>
      <c r="F305" s="1" t="s">
        <v>2544</v>
      </c>
      <c r="G305" s="241" t="str">
        <f t="shared" si="4"/>
        <v>121.9612</v>
      </c>
      <c r="H305" s="168">
        <v>121.9</v>
      </c>
      <c r="I305" s="168">
        <v>61</v>
      </c>
      <c r="J305" s="168">
        <v>2</v>
      </c>
      <c r="K305" s="168">
        <v>18</v>
      </c>
      <c r="L305" s="1"/>
    </row>
    <row r="306" spans="1:12" hidden="1">
      <c r="A306" s="30">
        <v>310</v>
      </c>
      <c r="B306" s="1" t="s">
        <v>2020</v>
      </c>
      <c r="C306" s="28" t="s">
        <v>2234</v>
      </c>
      <c r="D306" s="1" t="s">
        <v>13</v>
      </c>
      <c r="E306" s="1" t="s">
        <v>10</v>
      </c>
      <c r="F306" s="1" t="s">
        <v>2545</v>
      </c>
      <c r="G306" s="241" t="str">
        <f t="shared" si="4"/>
        <v>121.9614</v>
      </c>
      <c r="H306" s="168">
        <v>121.9</v>
      </c>
      <c r="I306" s="168">
        <v>61</v>
      </c>
      <c r="J306" s="168">
        <v>4</v>
      </c>
      <c r="K306" s="168">
        <v>10</v>
      </c>
      <c r="L306" s="1"/>
    </row>
    <row r="307" spans="1:12" hidden="1">
      <c r="A307" s="30">
        <v>311</v>
      </c>
      <c r="B307" s="1" t="s">
        <v>2021</v>
      </c>
      <c r="C307" s="28" t="s">
        <v>2234</v>
      </c>
      <c r="D307" s="1" t="s">
        <v>18</v>
      </c>
      <c r="E307" s="1" t="s">
        <v>10</v>
      </c>
      <c r="F307" s="1" t="s">
        <v>2546</v>
      </c>
      <c r="G307" s="241" t="str">
        <f t="shared" si="4"/>
        <v>6140.61.5</v>
      </c>
      <c r="H307" s="168">
        <v>61</v>
      </c>
      <c r="I307" s="168">
        <v>40.6</v>
      </c>
      <c r="J307" s="168">
        <v>1.5</v>
      </c>
      <c r="K307" s="168">
        <v>68</v>
      </c>
      <c r="L307" s="1"/>
    </row>
    <row r="308" spans="1:12" hidden="1">
      <c r="A308" s="30">
        <v>312</v>
      </c>
      <c r="B308" s="1" t="s">
        <v>2022</v>
      </c>
      <c r="C308" s="28" t="s">
        <v>2234</v>
      </c>
      <c r="D308" s="1" t="s">
        <v>13</v>
      </c>
      <c r="E308" s="1" t="s">
        <v>10</v>
      </c>
      <c r="F308" s="1" t="s">
        <v>2547</v>
      </c>
      <c r="G308" s="241" t="str">
        <f t="shared" si="4"/>
        <v>6140.63</v>
      </c>
      <c r="H308" s="168">
        <v>61</v>
      </c>
      <c r="I308" s="168">
        <v>40.6</v>
      </c>
      <c r="J308" s="168">
        <v>3</v>
      </c>
      <c r="K308" s="168">
        <v>34</v>
      </c>
      <c r="L308" s="1"/>
    </row>
    <row r="309" spans="1:12" hidden="1">
      <c r="A309" s="30">
        <v>313</v>
      </c>
      <c r="B309" s="1" t="s">
        <v>2023</v>
      </c>
      <c r="C309" s="28" t="s">
        <v>2234</v>
      </c>
      <c r="D309" s="1" t="s">
        <v>13</v>
      </c>
      <c r="E309" s="1" t="s">
        <v>10</v>
      </c>
      <c r="F309" s="1" t="s">
        <v>2548</v>
      </c>
      <c r="G309" s="241" t="str">
        <f t="shared" si="4"/>
        <v>63.329.43</v>
      </c>
      <c r="H309" s="168">
        <v>63.3</v>
      </c>
      <c r="I309" s="168">
        <v>29.4</v>
      </c>
      <c r="J309" s="168">
        <v>3</v>
      </c>
      <c r="K309" s="168">
        <v>33</v>
      </c>
      <c r="L309" s="1"/>
    </row>
    <row r="310" spans="1:12" hidden="1">
      <c r="A310" s="30">
        <v>314</v>
      </c>
      <c r="B310" s="1" t="s">
        <v>2024</v>
      </c>
      <c r="C310" s="28" t="s">
        <v>2234</v>
      </c>
      <c r="D310" s="1" t="s">
        <v>13</v>
      </c>
      <c r="E310" s="1" t="s">
        <v>10</v>
      </c>
      <c r="F310" s="1" t="s">
        <v>2549</v>
      </c>
      <c r="G310" s="241" t="str">
        <f t="shared" si="4"/>
        <v>63.339.53</v>
      </c>
      <c r="H310" s="168">
        <v>63.3</v>
      </c>
      <c r="I310" s="168">
        <v>39.5</v>
      </c>
      <c r="J310" s="168">
        <v>3</v>
      </c>
      <c r="K310" s="168">
        <v>33</v>
      </c>
      <c r="L310" s="1"/>
    </row>
    <row r="311" spans="1:12" hidden="1">
      <c r="A311" s="30">
        <v>315</v>
      </c>
      <c r="B311" s="1" t="s">
        <v>2025</v>
      </c>
      <c r="C311" s="28" t="s">
        <v>2234</v>
      </c>
      <c r="D311" s="1" t="s">
        <v>13</v>
      </c>
      <c r="E311" s="1" t="s">
        <v>10</v>
      </c>
      <c r="F311" s="1" t="s">
        <v>2550</v>
      </c>
      <c r="G311" s="241" t="str">
        <f t="shared" si="4"/>
        <v>71.963.33</v>
      </c>
      <c r="H311" s="168">
        <v>71.900000000000006</v>
      </c>
      <c r="I311" s="168">
        <v>63.3</v>
      </c>
      <c r="J311" s="168">
        <v>3</v>
      </c>
      <c r="K311" s="168">
        <v>27</v>
      </c>
      <c r="L311" s="1"/>
    </row>
    <row r="312" spans="1:12" hidden="1">
      <c r="A312" s="30">
        <v>316</v>
      </c>
      <c r="B312" s="1" t="s">
        <v>2026</v>
      </c>
      <c r="C312" s="28" t="s">
        <v>2234</v>
      </c>
      <c r="D312" s="1" t="s">
        <v>13</v>
      </c>
      <c r="E312" s="1" t="s">
        <v>10</v>
      </c>
      <c r="F312" s="1" t="s">
        <v>2551</v>
      </c>
      <c r="G312" s="241" t="str">
        <f t="shared" si="4"/>
        <v>74.847.15</v>
      </c>
      <c r="H312" s="168">
        <v>74.8</v>
      </c>
      <c r="I312" s="168">
        <v>47.1</v>
      </c>
      <c r="J312" s="168">
        <v>5</v>
      </c>
      <c r="K312" s="168">
        <v>10</v>
      </c>
      <c r="L312" s="1"/>
    </row>
    <row r="313" spans="1:12" hidden="1">
      <c r="A313" s="30">
        <v>317</v>
      </c>
      <c r="B313" s="1" t="s">
        <v>2027</v>
      </c>
      <c r="C313" s="28" t="s">
        <v>2234</v>
      </c>
      <c r="D313" s="1" t="s">
        <v>13</v>
      </c>
      <c r="E313" s="1" t="s">
        <v>10</v>
      </c>
      <c r="F313" s="1" t="s">
        <v>2552</v>
      </c>
      <c r="G313" s="241" t="str">
        <f t="shared" si="4"/>
        <v>9119.53</v>
      </c>
      <c r="H313" s="168">
        <v>91</v>
      </c>
      <c r="I313" s="168">
        <v>19.5</v>
      </c>
      <c r="J313" s="168">
        <v>3</v>
      </c>
      <c r="K313" s="168">
        <v>33</v>
      </c>
      <c r="L313" s="1"/>
    </row>
    <row r="314" spans="1:12" hidden="1">
      <c r="A314" s="30">
        <v>318</v>
      </c>
      <c r="B314" s="1" t="s">
        <v>2028</v>
      </c>
      <c r="C314" s="28" t="s">
        <v>2234</v>
      </c>
      <c r="D314" s="1" t="s">
        <v>13</v>
      </c>
      <c r="E314" s="1" t="s">
        <v>10</v>
      </c>
      <c r="F314" s="1" t="s">
        <v>2553</v>
      </c>
      <c r="G314" s="241" t="str">
        <f t="shared" si="4"/>
        <v>9163.33</v>
      </c>
      <c r="H314" s="168">
        <v>91</v>
      </c>
      <c r="I314" s="168">
        <v>63.3</v>
      </c>
      <c r="J314" s="168">
        <v>3</v>
      </c>
      <c r="K314" s="168">
        <v>27</v>
      </c>
      <c r="L314" s="1"/>
    </row>
    <row r="315" spans="1:12" hidden="1">
      <c r="A315" s="30">
        <v>319</v>
      </c>
      <c r="B315" s="1" t="s">
        <v>2029</v>
      </c>
      <c r="C315" s="28" t="s">
        <v>2234</v>
      </c>
      <c r="D315" s="1" t="s">
        <v>13</v>
      </c>
      <c r="E315" s="1" t="s">
        <v>10</v>
      </c>
      <c r="F315" s="1" t="s">
        <v>2554</v>
      </c>
      <c r="G315" s="241" t="str">
        <f t="shared" si="4"/>
        <v>95.354.65</v>
      </c>
      <c r="H315" s="168">
        <v>95.3</v>
      </c>
      <c r="I315" s="168">
        <v>54.6</v>
      </c>
      <c r="J315" s="168">
        <v>5</v>
      </c>
      <c r="K315" s="168">
        <v>10</v>
      </c>
      <c r="L315" s="1"/>
    </row>
    <row r="316" spans="1:12" hidden="1">
      <c r="A316" s="30">
        <v>320</v>
      </c>
      <c r="B316" s="1" t="s">
        <v>2030</v>
      </c>
      <c r="C316" s="28" t="s">
        <v>2234</v>
      </c>
      <c r="D316" s="1" t="s">
        <v>13</v>
      </c>
      <c r="E316" s="1" t="s">
        <v>10</v>
      </c>
      <c r="F316" s="1" t="s">
        <v>2555</v>
      </c>
      <c r="G316" s="241" t="str">
        <f t="shared" si="4"/>
        <v>95.357.25</v>
      </c>
      <c r="H316" s="168">
        <v>95.3</v>
      </c>
      <c r="I316" s="168">
        <v>57.2</v>
      </c>
      <c r="J316" s="168">
        <v>5</v>
      </c>
      <c r="K316" s="168">
        <v>10</v>
      </c>
      <c r="L316" s="1"/>
    </row>
    <row r="317" spans="1:12" hidden="1">
      <c r="A317" s="30">
        <v>321</v>
      </c>
      <c r="B317" s="1" t="s">
        <v>2031</v>
      </c>
      <c r="C317" s="28" t="s">
        <v>2234</v>
      </c>
      <c r="D317" s="1" t="s">
        <v>13</v>
      </c>
      <c r="E317" s="1" t="s">
        <v>10</v>
      </c>
      <c r="F317" s="1" t="s">
        <v>2556</v>
      </c>
      <c r="G317" s="241" t="str">
        <f t="shared" si="4"/>
        <v>99.545.25</v>
      </c>
      <c r="H317" s="168">
        <v>99.5</v>
      </c>
      <c r="I317" s="168">
        <v>45.2</v>
      </c>
      <c r="J317" s="168">
        <v>5</v>
      </c>
      <c r="K317" s="168">
        <v>10</v>
      </c>
      <c r="L317" s="1"/>
    </row>
    <row r="318" spans="1:12" hidden="1">
      <c r="A318" s="30">
        <v>322</v>
      </c>
      <c r="B318" s="1" t="s">
        <v>2032</v>
      </c>
      <c r="C318" s="28" t="s">
        <v>2234</v>
      </c>
      <c r="D318" s="1" t="s">
        <v>18</v>
      </c>
      <c r="E318" s="1" t="s">
        <v>10</v>
      </c>
      <c r="F318" s="1" t="s">
        <v>2557</v>
      </c>
      <c r="G318" s="241" t="str">
        <f t="shared" ref="G318:G381" si="5">H318&amp;I318&amp;J318</f>
        <v>30302</v>
      </c>
      <c r="H318" s="168">
        <v>30</v>
      </c>
      <c r="I318" s="168">
        <v>30</v>
      </c>
      <c r="J318" s="168">
        <v>2</v>
      </c>
      <c r="K318" s="168">
        <v>10</v>
      </c>
      <c r="L318" s="1"/>
    </row>
    <row r="319" spans="1:12" hidden="1">
      <c r="A319" s="30">
        <v>323</v>
      </c>
      <c r="B319" s="1" t="s">
        <v>2033</v>
      </c>
      <c r="C319" s="28" t="s">
        <v>2234</v>
      </c>
      <c r="D319" s="1" t="s">
        <v>13</v>
      </c>
      <c r="E319" s="1" t="s">
        <v>10</v>
      </c>
      <c r="F319" s="1" t="s">
        <v>2558</v>
      </c>
      <c r="G319" s="241" t="str">
        <f t="shared" si="5"/>
        <v>30306</v>
      </c>
      <c r="H319" s="168">
        <v>30</v>
      </c>
      <c r="I319" s="168">
        <v>30</v>
      </c>
      <c r="J319" s="168">
        <v>6</v>
      </c>
      <c r="K319" s="168">
        <v>84</v>
      </c>
      <c r="L319" s="1"/>
    </row>
    <row r="320" spans="1:12" hidden="1">
      <c r="A320" s="30">
        <v>324</v>
      </c>
      <c r="B320" s="1" t="s">
        <v>2034</v>
      </c>
      <c r="C320" s="28" t="s">
        <v>2234</v>
      </c>
      <c r="D320" s="1" t="s">
        <v>13</v>
      </c>
      <c r="E320" s="1" t="s">
        <v>10</v>
      </c>
      <c r="F320" s="1" t="s">
        <v>2559</v>
      </c>
      <c r="G320" s="241" t="str">
        <f t="shared" si="5"/>
        <v>60306</v>
      </c>
      <c r="H320" s="168">
        <v>60</v>
      </c>
      <c r="I320" s="168">
        <v>30</v>
      </c>
      <c r="J320" s="168">
        <v>6</v>
      </c>
      <c r="K320" s="168">
        <v>42</v>
      </c>
      <c r="L320" s="1"/>
    </row>
    <row r="321" spans="1:12" hidden="1">
      <c r="A321" s="30">
        <v>325</v>
      </c>
      <c r="B321" s="1" t="s">
        <v>2035</v>
      </c>
      <c r="C321" s="28" t="s">
        <v>2234</v>
      </c>
      <c r="D321" s="1" t="s">
        <v>13</v>
      </c>
      <c r="E321" s="1" t="s">
        <v>10</v>
      </c>
      <c r="F321" s="1" t="s">
        <v>2560</v>
      </c>
      <c r="G321" s="241" t="str">
        <f t="shared" si="5"/>
        <v>60406</v>
      </c>
      <c r="H321" s="168">
        <v>60</v>
      </c>
      <c r="I321" s="168">
        <v>40</v>
      </c>
      <c r="J321" s="168">
        <v>6</v>
      </c>
      <c r="K321" s="168">
        <v>28</v>
      </c>
      <c r="L321" s="1"/>
    </row>
    <row r="322" spans="1:12" hidden="1">
      <c r="A322" s="30">
        <v>326</v>
      </c>
      <c r="B322" s="1" t="s">
        <v>2036</v>
      </c>
      <c r="C322" s="28" t="s">
        <v>2234</v>
      </c>
      <c r="D322" s="1" t="s">
        <v>13</v>
      </c>
      <c r="E322" s="1" t="s">
        <v>10</v>
      </c>
      <c r="F322" s="1" t="s">
        <v>2561</v>
      </c>
      <c r="G322" s="241" t="str">
        <f t="shared" si="5"/>
        <v>90456</v>
      </c>
      <c r="H322" s="168">
        <v>90</v>
      </c>
      <c r="I322" s="168">
        <v>45</v>
      </c>
      <c r="J322" s="168">
        <v>6</v>
      </c>
      <c r="K322" s="168">
        <v>16</v>
      </c>
      <c r="L322" s="1"/>
    </row>
    <row r="323" spans="1:12" hidden="1">
      <c r="A323" s="30">
        <v>327</v>
      </c>
      <c r="B323" s="1" t="s">
        <v>2037</v>
      </c>
      <c r="C323" s="28" t="s">
        <v>2234</v>
      </c>
      <c r="D323" s="1" t="s">
        <v>13</v>
      </c>
      <c r="E323" s="1" t="s">
        <v>10</v>
      </c>
      <c r="F323" s="1" t="s">
        <v>2562</v>
      </c>
      <c r="G323" s="241" t="str">
        <f t="shared" si="5"/>
        <v>12.77.65</v>
      </c>
      <c r="H323" s="168">
        <v>12.7</v>
      </c>
      <c r="I323" s="168">
        <v>7.6</v>
      </c>
      <c r="J323" s="168">
        <v>5</v>
      </c>
      <c r="K323" s="168">
        <v>60</v>
      </c>
      <c r="L323" s="1"/>
    </row>
    <row r="324" spans="1:12" hidden="1">
      <c r="A324" s="30">
        <v>328</v>
      </c>
      <c r="B324" s="1" t="s">
        <v>2038</v>
      </c>
      <c r="C324" s="28" t="s">
        <v>2234</v>
      </c>
      <c r="D324" s="1" t="s">
        <v>18</v>
      </c>
      <c r="E324" s="1" t="s">
        <v>10</v>
      </c>
      <c r="F324" s="1" t="s">
        <v>2563</v>
      </c>
      <c r="G324" s="241" t="str">
        <f t="shared" si="5"/>
        <v>106.745.72</v>
      </c>
      <c r="H324" s="168">
        <v>106.7</v>
      </c>
      <c r="I324" s="168">
        <v>45.7</v>
      </c>
      <c r="J324" s="168">
        <v>2</v>
      </c>
      <c r="K324" s="168">
        <v>40</v>
      </c>
      <c r="L324" s="1"/>
    </row>
    <row r="325" spans="1:12" hidden="1">
      <c r="A325" s="30">
        <v>329</v>
      </c>
      <c r="B325" s="1" t="s">
        <v>2039</v>
      </c>
      <c r="C325" s="28" t="s">
        <v>2234</v>
      </c>
      <c r="D325" s="1" t="s">
        <v>18</v>
      </c>
      <c r="E325" s="1" t="s">
        <v>10</v>
      </c>
      <c r="F325" s="1" t="s">
        <v>2564</v>
      </c>
      <c r="G325" s="241" t="str">
        <f t="shared" si="5"/>
        <v>113.715.22</v>
      </c>
      <c r="H325" s="168">
        <v>113.7</v>
      </c>
      <c r="I325" s="168">
        <v>15.2</v>
      </c>
      <c r="J325" s="168">
        <v>2</v>
      </c>
      <c r="K325" s="168">
        <v>60</v>
      </c>
      <c r="L325" s="1"/>
    </row>
    <row r="326" spans="1:12" hidden="1">
      <c r="A326" s="30">
        <v>330</v>
      </c>
      <c r="B326" s="1" t="s">
        <v>2040</v>
      </c>
      <c r="C326" s="28" t="s">
        <v>2234</v>
      </c>
      <c r="D326" s="1" t="s">
        <v>18</v>
      </c>
      <c r="E326" s="1" t="s">
        <v>10</v>
      </c>
      <c r="F326" s="1" t="s">
        <v>2565</v>
      </c>
      <c r="G326" s="241" t="str">
        <f t="shared" si="5"/>
        <v>113.729.82</v>
      </c>
      <c r="H326" s="168">
        <v>113.7</v>
      </c>
      <c r="I326" s="168">
        <v>29.8</v>
      </c>
      <c r="J326" s="168">
        <v>2</v>
      </c>
      <c r="K326" s="168">
        <v>34</v>
      </c>
      <c r="L326" s="1"/>
    </row>
    <row r="327" spans="1:12" hidden="1">
      <c r="A327" s="30">
        <v>331</v>
      </c>
      <c r="B327" s="1" t="s">
        <v>2041</v>
      </c>
      <c r="C327" s="28" t="s">
        <v>2234</v>
      </c>
      <c r="D327" s="1" t="s">
        <v>18</v>
      </c>
      <c r="E327" s="1" t="s">
        <v>10</v>
      </c>
      <c r="F327" s="1" t="s">
        <v>2566</v>
      </c>
      <c r="G327" s="241" t="str">
        <f t="shared" si="5"/>
        <v>116.215.22</v>
      </c>
      <c r="H327" s="168">
        <v>116.2</v>
      </c>
      <c r="I327" s="168">
        <v>15.2</v>
      </c>
      <c r="J327" s="168">
        <v>2</v>
      </c>
      <c r="K327" s="168">
        <v>60</v>
      </c>
      <c r="L327" s="1"/>
    </row>
    <row r="328" spans="1:12" hidden="1">
      <c r="A328" s="30">
        <v>332</v>
      </c>
      <c r="B328" s="1" t="s">
        <v>2042</v>
      </c>
      <c r="C328" s="28" t="s">
        <v>2234</v>
      </c>
      <c r="D328" s="1" t="s">
        <v>18</v>
      </c>
      <c r="E328" s="1" t="s">
        <v>10</v>
      </c>
      <c r="F328" s="1" t="s">
        <v>2567</v>
      </c>
      <c r="G328" s="241" t="str">
        <f t="shared" si="5"/>
        <v>116.229.82</v>
      </c>
      <c r="H328" s="168">
        <v>116.2</v>
      </c>
      <c r="I328" s="168">
        <v>29.8</v>
      </c>
      <c r="J328" s="168">
        <v>2</v>
      </c>
      <c r="K328" s="168">
        <v>34</v>
      </c>
      <c r="L328" s="1"/>
    </row>
    <row r="329" spans="1:12" hidden="1">
      <c r="A329" s="30">
        <v>333</v>
      </c>
      <c r="B329" s="1" t="s">
        <v>2043</v>
      </c>
      <c r="C329" s="28" t="s">
        <v>2234</v>
      </c>
      <c r="D329" s="1" t="s">
        <v>18</v>
      </c>
      <c r="E329" s="1" t="s">
        <v>10</v>
      </c>
      <c r="F329" s="1" t="s">
        <v>2568</v>
      </c>
      <c r="G329" s="241" t="str">
        <f t="shared" si="5"/>
        <v>128.929.82</v>
      </c>
      <c r="H329" s="168">
        <v>128.9</v>
      </c>
      <c r="I329" s="168">
        <v>29.8</v>
      </c>
      <c r="J329" s="168">
        <v>2</v>
      </c>
      <c r="K329" s="168">
        <v>34</v>
      </c>
      <c r="L329" s="1"/>
    </row>
    <row r="330" spans="1:12" hidden="1">
      <c r="A330" s="30">
        <v>334</v>
      </c>
      <c r="B330" s="1" t="s">
        <v>2044</v>
      </c>
      <c r="C330" s="28" t="s">
        <v>2234</v>
      </c>
      <c r="D330" s="1" t="s">
        <v>18</v>
      </c>
      <c r="E330" s="1" t="s">
        <v>10</v>
      </c>
      <c r="F330" s="1" t="s">
        <v>2569</v>
      </c>
      <c r="G330" s="241" t="str">
        <f t="shared" si="5"/>
        <v>131.429.82</v>
      </c>
      <c r="H330" s="168">
        <v>131.4</v>
      </c>
      <c r="I330" s="168">
        <v>29.8</v>
      </c>
      <c r="J330" s="168">
        <v>2</v>
      </c>
      <c r="K330" s="168">
        <v>34</v>
      </c>
      <c r="L330" s="1"/>
    </row>
    <row r="331" spans="1:12" hidden="1">
      <c r="A331" s="30">
        <v>335</v>
      </c>
      <c r="B331" s="1" t="s">
        <v>2045</v>
      </c>
      <c r="C331" s="28" t="s">
        <v>2234</v>
      </c>
      <c r="D331" s="1" t="s">
        <v>18</v>
      </c>
      <c r="E331" s="1" t="s">
        <v>10</v>
      </c>
      <c r="F331" s="1" t="s">
        <v>2570</v>
      </c>
      <c r="G331" s="241" t="str">
        <f t="shared" si="5"/>
        <v>148.915.22</v>
      </c>
      <c r="H331" s="168">
        <v>148.9</v>
      </c>
      <c r="I331" s="168">
        <v>15.2</v>
      </c>
      <c r="J331" s="168">
        <v>2</v>
      </c>
      <c r="K331" s="168">
        <v>60</v>
      </c>
      <c r="L331" s="1"/>
    </row>
    <row r="332" spans="1:12" hidden="1">
      <c r="A332" s="30">
        <v>336</v>
      </c>
      <c r="B332" s="1" t="s">
        <v>2046</v>
      </c>
      <c r="C332" s="28" t="s">
        <v>2234</v>
      </c>
      <c r="D332" s="1" t="s">
        <v>18</v>
      </c>
      <c r="E332" s="1" t="s">
        <v>10</v>
      </c>
      <c r="F332" s="1" t="s">
        <v>2571</v>
      </c>
      <c r="G332" s="241" t="str">
        <f t="shared" si="5"/>
        <v>151.415.22</v>
      </c>
      <c r="H332" s="168">
        <v>151.4</v>
      </c>
      <c r="I332" s="168">
        <v>15.2</v>
      </c>
      <c r="J332" s="168">
        <v>2</v>
      </c>
      <c r="K332" s="168">
        <v>60</v>
      </c>
      <c r="L332" s="1"/>
    </row>
    <row r="333" spans="1:12" hidden="1">
      <c r="A333" s="30">
        <v>337</v>
      </c>
      <c r="B333" s="1" t="s">
        <v>2047</v>
      </c>
      <c r="C333" s="28" t="s">
        <v>2234</v>
      </c>
      <c r="D333" s="1" t="s">
        <v>18</v>
      </c>
      <c r="E333" s="1" t="s">
        <v>10</v>
      </c>
      <c r="F333" s="1" t="s">
        <v>2572</v>
      </c>
      <c r="G333" s="241" t="str">
        <f t="shared" si="5"/>
        <v>164.129.82</v>
      </c>
      <c r="H333" s="168">
        <v>164.1</v>
      </c>
      <c r="I333" s="168">
        <v>29.8</v>
      </c>
      <c r="J333" s="168">
        <v>2</v>
      </c>
      <c r="K333" s="168">
        <v>34</v>
      </c>
      <c r="L333" s="1"/>
    </row>
    <row r="334" spans="1:12" hidden="1">
      <c r="A334" s="30">
        <v>338</v>
      </c>
      <c r="B334" s="1" t="s">
        <v>2048</v>
      </c>
      <c r="C334" s="28" t="s">
        <v>2234</v>
      </c>
      <c r="D334" s="1" t="s">
        <v>18</v>
      </c>
      <c r="E334" s="1" t="s">
        <v>10</v>
      </c>
      <c r="F334" s="1" t="s">
        <v>2573</v>
      </c>
      <c r="G334" s="241" t="str">
        <f t="shared" si="5"/>
        <v>166.729.82</v>
      </c>
      <c r="H334" s="168">
        <v>166.7</v>
      </c>
      <c r="I334" s="168">
        <v>29.8</v>
      </c>
      <c r="J334" s="168">
        <v>2</v>
      </c>
      <c r="K334" s="168">
        <v>34</v>
      </c>
      <c r="L334" s="1"/>
    </row>
    <row r="335" spans="1:12" hidden="1">
      <c r="A335" s="30">
        <v>339</v>
      </c>
      <c r="B335" s="1" t="s">
        <v>2049</v>
      </c>
      <c r="C335" s="28" t="s">
        <v>2234</v>
      </c>
      <c r="D335" s="1" t="s">
        <v>18</v>
      </c>
      <c r="E335" s="1" t="s">
        <v>10</v>
      </c>
      <c r="F335" s="1" t="s">
        <v>2574</v>
      </c>
      <c r="G335" s="241" t="str">
        <f t="shared" si="5"/>
        <v>2062</v>
      </c>
      <c r="H335" s="168">
        <v>20</v>
      </c>
      <c r="I335" s="168">
        <v>6</v>
      </c>
      <c r="J335" s="168">
        <v>2</v>
      </c>
      <c r="K335" s="168">
        <v>40</v>
      </c>
      <c r="L335" s="1"/>
    </row>
    <row r="336" spans="1:12" hidden="1">
      <c r="A336" s="30">
        <v>340</v>
      </c>
      <c r="B336" s="1" t="s">
        <v>2050</v>
      </c>
      <c r="C336" s="28" t="s">
        <v>2234</v>
      </c>
      <c r="D336" s="1" t="s">
        <v>18</v>
      </c>
      <c r="E336" s="1" t="s">
        <v>10</v>
      </c>
      <c r="F336" s="1" t="s">
        <v>2575</v>
      </c>
      <c r="G336" s="241" t="str">
        <f t="shared" si="5"/>
        <v>30.530.51.2</v>
      </c>
      <c r="H336" s="168">
        <v>30.5</v>
      </c>
      <c r="I336" s="168">
        <v>30.5</v>
      </c>
      <c r="J336" s="168">
        <v>1.2</v>
      </c>
      <c r="K336" s="168">
        <v>189</v>
      </c>
      <c r="L336" s="1"/>
    </row>
    <row r="337" spans="1:12" hidden="1">
      <c r="A337" s="30">
        <v>341</v>
      </c>
      <c r="B337" s="1" t="s">
        <v>2051</v>
      </c>
      <c r="C337" s="28" t="s">
        <v>2234</v>
      </c>
      <c r="D337" s="1" t="s">
        <v>18</v>
      </c>
      <c r="E337" s="1" t="s">
        <v>10</v>
      </c>
      <c r="F337" s="1" t="s">
        <v>2576</v>
      </c>
      <c r="G337" s="241" t="str">
        <f t="shared" si="5"/>
        <v>6120.31.5</v>
      </c>
      <c r="H337" s="168">
        <v>61</v>
      </c>
      <c r="I337" s="168">
        <v>20.3</v>
      </c>
      <c r="J337" s="168">
        <v>1.5</v>
      </c>
      <c r="K337" s="168">
        <v>82</v>
      </c>
      <c r="L337" s="1"/>
    </row>
    <row r="338" spans="1:12" hidden="1">
      <c r="A338" s="30">
        <v>342</v>
      </c>
      <c r="B338" s="1" t="s">
        <v>2052</v>
      </c>
      <c r="C338" s="28" t="s">
        <v>2234</v>
      </c>
      <c r="D338" s="1" t="s">
        <v>18</v>
      </c>
      <c r="E338" s="1" t="s">
        <v>10</v>
      </c>
      <c r="F338" s="1" t="s">
        <v>2577</v>
      </c>
      <c r="G338" s="241" t="str">
        <f t="shared" si="5"/>
        <v>6127.91.5</v>
      </c>
      <c r="H338" s="168">
        <v>61</v>
      </c>
      <c r="I338" s="168">
        <v>27.9</v>
      </c>
      <c r="J338" s="168">
        <v>1.5</v>
      </c>
      <c r="K338" s="168">
        <v>77</v>
      </c>
      <c r="L338" s="1"/>
    </row>
    <row r="339" spans="1:12" hidden="1">
      <c r="A339" s="30">
        <v>343</v>
      </c>
      <c r="B339" s="1" t="s">
        <v>2053</v>
      </c>
      <c r="C339" s="28" t="s">
        <v>2234</v>
      </c>
      <c r="D339" s="1" t="s">
        <v>18</v>
      </c>
      <c r="E339" s="1" t="s">
        <v>10</v>
      </c>
      <c r="F339" s="1" t="s">
        <v>2578</v>
      </c>
      <c r="G339" s="241" t="str">
        <f t="shared" si="5"/>
        <v>6130.51.2</v>
      </c>
      <c r="H339" s="168">
        <v>61</v>
      </c>
      <c r="I339" s="168">
        <v>30.5</v>
      </c>
      <c r="J339" s="168">
        <v>1.2</v>
      </c>
      <c r="K339" s="168">
        <v>140</v>
      </c>
      <c r="L339" s="1"/>
    </row>
    <row r="340" spans="1:12" hidden="1">
      <c r="A340" s="30">
        <v>344</v>
      </c>
      <c r="B340" s="1" t="s">
        <v>2054</v>
      </c>
      <c r="C340" s="28" t="s">
        <v>2234</v>
      </c>
      <c r="D340" s="1" t="s">
        <v>18</v>
      </c>
      <c r="E340" s="1" t="s">
        <v>10</v>
      </c>
      <c r="F340" s="1" t="s">
        <v>2579</v>
      </c>
      <c r="G340" s="241" t="str">
        <f t="shared" si="5"/>
        <v>6130.51.5</v>
      </c>
      <c r="H340" s="168">
        <v>61</v>
      </c>
      <c r="I340" s="168">
        <v>30.5</v>
      </c>
      <c r="J340" s="168">
        <v>1.5</v>
      </c>
      <c r="K340" s="168">
        <v>120</v>
      </c>
      <c r="L340" s="1"/>
    </row>
    <row r="341" spans="1:12" hidden="1">
      <c r="A341" s="30">
        <v>345</v>
      </c>
      <c r="B341" s="1" t="s">
        <v>2055</v>
      </c>
      <c r="C341" s="28" t="s">
        <v>2234</v>
      </c>
      <c r="D341" s="1" t="s">
        <v>18</v>
      </c>
      <c r="E341" s="1" t="s">
        <v>10</v>
      </c>
      <c r="F341" s="1" t="s">
        <v>2580</v>
      </c>
      <c r="G341" s="241" t="str">
        <f t="shared" si="5"/>
        <v>6135.61.5</v>
      </c>
      <c r="H341" s="168">
        <v>61</v>
      </c>
      <c r="I341" s="168">
        <v>35.6</v>
      </c>
      <c r="J341" s="168">
        <v>1.5</v>
      </c>
      <c r="K341" s="168">
        <v>88</v>
      </c>
      <c r="L341" s="1"/>
    </row>
    <row r="342" spans="1:12" hidden="1">
      <c r="A342" s="30">
        <v>346</v>
      </c>
      <c r="B342" s="1" t="s">
        <v>2056</v>
      </c>
      <c r="C342" s="28" t="s">
        <v>2234</v>
      </c>
      <c r="D342" s="1" t="s">
        <v>18</v>
      </c>
      <c r="E342" s="1" t="s">
        <v>10</v>
      </c>
      <c r="F342" s="1" t="s">
        <v>2581</v>
      </c>
      <c r="G342" s="241" t="str">
        <f t="shared" si="5"/>
        <v>6145.71.5</v>
      </c>
      <c r="H342" s="168">
        <v>61</v>
      </c>
      <c r="I342" s="168">
        <v>45.7</v>
      </c>
      <c r="J342" s="168">
        <v>1.5</v>
      </c>
      <c r="K342" s="168">
        <v>85</v>
      </c>
      <c r="L342" s="1"/>
    </row>
    <row r="343" spans="1:12" hidden="1">
      <c r="A343" s="30">
        <v>347</v>
      </c>
      <c r="B343" s="1" t="s">
        <v>2057</v>
      </c>
      <c r="C343" s="28" t="s">
        <v>2234</v>
      </c>
      <c r="D343" s="1" t="s">
        <v>18</v>
      </c>
      <c r="E343" s="1" t="s">
        <v>10</v>
      </c>
      <c r="F343" s="1" t="s">
        <v>2582</v>
      </c>
      <c r="G343" s="241" t="str">
        <f t="shared" si="5"/>
        <v>61611.5</v>
      </c>
      <c r="H343" s="168">
        <v>61</v>
      </c>
      <c r="I343" s="168">
        <v>61</v>
      </c>
      <c r="J343" s="168">
        <v>1.5</v>
      </c>
      <c r="K343" s="168">
        <v>60</v>
      </c>
      <c r="L343" s="1"/>
    </row>
    <row r="344" spans="1:12" hidden="1">
      <c r="A344" s="30">
        <v>348</v>
      </c>
      <c r="B344" s="1" t="s">
        <v>2058</v>
      </c>
      <c r="C344" s="28" t="s">
        <v>2234</v>
      </c>
      <c r="D344" s="1" t="s">
        <v>18</v>
      </c>
      <c r="E344" s="1" t="s">
        <v>10</v>
      </c>
      <c r="F344" s="1" t="s">
        <v>2583</v>
      </c>
      <c r="G344" s="241" t="str">
        <f t="shared" si="5"/>
        <v>81.345.72</v>
      </c>
      <c r="H344" s="168">
        <v>81.3</v>
      </c>
      <c r="I344" s="168">
        <v>45.7</v>
      </c>
      <c r="J344" s="168">
        <v>2</v>
      </c>
      <c r="K344" s="168">
        <v>57</v>
      </c>
      <c r="L344" s="1"/>
    </row>
    <row r="345" spans="1:12" hidden="1">
      <c r="A345" s="30">
        <v>349</v>
      </c>
      <c r="B345" s="1" t="s">
        <v>2059</v>
      </c>
      <c r="C345" s="28" t="s">
        <v>2234</v>
      </c>
      <c r="D345" s="1" t="s">
        <v>18</v>
      </c>
      <c r="E345" s="1" t="s">
        <v>10</v>
      </c>
      <c r="F345" s="1" t="s">
        <v>2584</v>
      </c>
      <c r="G345" s="241" t="str">
        <f t="shared" si="5"/>
        <v>86.450.82</v>
      </c>
      <c r="H345" s="168">
        <v>86.4</v>
      </c>
      <c r="I345" s="168">
        <v>50.8</v>
      </c>
      <c r="J345" s="168">
        <v>2</v>
      </c>
      <c r="K345" s="168">
        <v>60</v>
      </c>
      <c r="L345" s="1"/>
    </row>
    <row r="346" spans="1:12" hidden="1">
      <c r="A346" s="30">
        <v>350</v>
      </c>
      <c r="B346" s="1" t="s">
        <v>2060</v>
      </c>
      <c r="C346" s="28" t="s">
        <v>2234</v>
      </c>
      <c r="D346" s="1" t="s">
        <v>18</v>
      </c>
      <c r="E346" s="1" t="s">
        <v>10</v>
      </c>
      <c r="F346" s="1" t="s">
        <v>2585</v>
      </c>
      <c r="G346" s="241" t="str">
        <f t="shared" si="5"/>
        <v>91.445.72</v>
      </c>
      <c r="H346" s="168">
        <v>91.4</v>
      </c>
      <c r="I346" s="168">
        <v>45.7</v>
      </c>
      <c r="J346" s="168">
        <v>2</v>
      </c>
      <c r="K346" s="168">
        <v>57</v>
      </c>
      <c r="L346" s="1"/>
    </row>
    <row r="347" spans="1:12" hidden="1">
      <c r="A347" s="30">
        <v>351</v>
      </c>
      <c r="B347" s="1" t="s">
        <v>2061</v>
      </c>
      <c r="C347" s="28" t="s">
        <v>2234</v>
      </c>
      <c r="D347" s="1" t="s">
        <v>18</v>
      </c>
      <c r="E347" s="1" t="s">
        <v>10</v>
      </c>
      <c r="F347" s="1" t="s">
        <v>2586</v>
      </c>
      <c r="G347" s="241" t="str">
        <f t="shared" si="5"/>
        <v>91.530.51.5</v>
      </c>
      <c r="H347" s="168">
        <v>91.5</v>
      </c>
      <c r="I347" s="168">
        <v>30.5</v>
      </c>
      <c r="J347" s="168">
        <v>1.5</v>
      </c>
      <c r="K347" s="168">
        <v>84</v>
      </c>
      <c r="L347" s="1"/>
    </row>
    <row r="348" spans="1:12" hidden="1">
      <c r="A348" s="30">
        <v>352</v>
      </c>
      <c r="B348" s="1" t="s">
        <v>2062</v>
      </c>
      <c r="C348" s="28" t="s">
        <v>2234</v>
      </c>
      <c r="D348" s="1" t="s">
        <v>18</v>
      </c>
      <c r="E348" s="1" t="s">
        <v>10</v>
      </c>
      <c r="F348" s="1" t="s">
        <v>2587</v>
      </c>
      <c r="G348" s="241" t="str">
        <f t="shared" si="5"/>
        <v>2062</v>
      </c>
      <c r="H348" s="168">
        <v>20</v>
      </c>
      <c r="I348" s="168">
        <v>6</v>
      </c>
      <c r="J348" s="168">
        <v>2</v>
      </c>
      <c r="K348" s="168">
        <v>40</v>
      </c>
      <c r="L348" s="1"/>
    </row>
    <row r="349" spans="1:12" hidden="1">
      <c r="A349" s="30">
        <v>353</v>
      </c>
      <c r="B349" s="1" t="s">
        <v>2063</v>
      </c>
      <c r="C349" s="28" t="s">
        <v>2234</v>
      </c>
      <c r="D349" s="1" t="s">
        <v>18</v>
      </c>
      <c r="E349" s="1" t="s">
        <v>10</v>
      </c>
      <c r="F349" s="1" t="s">
        <v>2588</v>
      </c>
      <c r="G349" s="241" t="str">
        <f t="shared" si="5"/>
        <v>2062</v>
      </c>
      <c r="H349" s="168">
        <v>20</v>
      </c>
      <c r="I349" s="168">
        <v>6</v>
      </c>
      <c r="J349" s="168">
        <v>2</v>
      </c>
      <c r="K349" s="168">
        <v>40</v>
      </c>
      <c r="L349" s="1"/>
    </row>
    <row r="350" spans="1:12" hidden="1">
      <c r="A350" s="30">
        <v>354</v>
      </c>
      <c r="B350" s="1" t="s">
        <v>2064</v>
      </c>
      <c r="C350" s="28" t="s">
        <v>2234</v>
      </c>
      <c r="D350" s="1" t="s">
        <v>13</v>
      </c>
      <c r="E350" s="1" t="s">
        <v>30</v>
      </c>
      <c r="F350" s="1" t="s">
        <v>2589</v>
      </c>
      <c r="G350" s="241" t="str">
        <f t="shared" si="5"/>
        <v>154.915.23</v>
      </c>
      <c r="H350" s="168">
        <v>154.9</v>
      </c>
      <c r="I350" s="168">
        <v>15.2</v>
      </c>
      <c r="J350" s="168">
        <v>3</v>
      </c>
      <c r="K350" s="168">
        <v>4</v>
      </c>
      <c r="L350" s="1"/>
    </row>
    <row r="351" spans="1:12" hidden="1">
      <c r="A351" s="30">
        <v>355</v>
      </c>
      <c r="B351" s="1" t="s">
        <v>2065</v>
      </c>
      <c r="C351" s="28" t="s">
        <v>2234</v>
      </c>
      <c r="D351" s="1" t="s">
        <v>13</v>
      </c>
      <c r="E351" s="1" t="s">
        <v>30</v>
      </c>
      <c r="F351" s="1" t="s">
        <v>2590</v>
      </c>
      <c r="G351" s="241" t="str">
        <f t="shared" si="5"/>
        <v>182.915.23</v>
      </c>
      <c r="H351" s="168">
        <v>182.9</v>
      </c>
      <c r="I351" s="168">
        <v>15.2</v>
      </c>
      <c r="J351" s="168">
        <v>3</v>
      </c>
      <c r="K351" s="168">
        <v>4</v>
      </c>
      <c r="L351" s="1"/>
    </row>
    <row r="352" spans="1:12" hidden="1">
      <c r="A352" s="30">
        <v>356</v>
      </c>
      <c r="B352" s="1" t="s">
        <v>2066</v>
      </c>
      <c r="C352" s="28" t="s">
        <v>2234</v>
      </c>
      <c r="D352" s="1" t="s">
        <v>20</v>
      </c>
      <c r="E352" s="1" t="s">
        <v>30</v>
      </c>
      <c r="F352" s="1" t="s">
        <v>2591</v>
      </c>
      <c r="G352" s="241" t="str">
        <f t="shared" si="5"/>
        <v>160802</v>
      </c>
      <c r="H352" s="168">
        <v>160</v>
      </c>
      <c r="I352" s="168">
        <v>80</v>
      </c>
      <c r="J352" s="168">
        <v>2</v>
      </c>
      <c r="K352" s="168">
        <v>14</v>
      </c>
      <c r="L352" s="1"/>
    </row>
    <row r="353" spans="1:12" hidden="1">
      <c r="A353" s="30">
        <v>357</v>
      </c>
      <c r="B353" s="1" t="s">
        <v>2067</v>
      </c>
      <c r="C353" s="28" t="s">
        <v>2234</v>
      </c>
      <c r="D353" s="1" t="s">
        <v>20</v>
      </c>
      <c r="E353" s="1" t="s">
        <v>30</v>
      </c>
      <c r="F353" s="1" t="s">
        <v>2592</v>
      </c>
      <c r="G353" s="241" t="str">
        <f t="shared" si="5"/>
        <v>200642</v>
      </c>
      <c r="H353" s="168">
        <v>200</v>
      </c>
      <c r="I353" s="168">
        <v>64</v>
      </c>
      <c r="J353" s="168">
        <v>2</v>
      </c>
      <c r="K353" s="168">
        <v>20</v>
      </c>
      <c r="L353" s="1"/>
    </row>
    <row r="354" spans="1:12" hidden="1">
      <c r="A354" s="30">
        <v>358</v>
      </c>
      <c r="B354" s="1" t="s">
        <v>2068</v>
      </c>
      <c r="C354" s="28" t="s">
        <v>2234</v>
      </c>
      <c r="D354" s="1" t="s">
        <v>13</v>
      </c>
      <c r="E354" s="1" t="s">
        <v>39</v>
      </c>
      <c r="F354" s="1" t="s">
        <v>2593</v>
      </c>
      <c r="G354" s="241" t="str">
        <f t="shared" si="5"/>
        <v>60503</v>
      </c>
      <c r="H354" s="168">
        <v>60</v>
      </c>
      <c r="I354" s="168">
        <v>50</v>
      </c>
      <c r="J354" s="168">
        <v>3</v>
      </c>
      <c r="K354" s="168">
        <v>30</v>
      </c>
      <c r="L354" s="1"/>
    </row>
    <row r="355" spans="1:12" hidden="1">
      <c r="A355" s="30">
        <v>359</v>
      </c>
      <c r="B355" s="1" t="s">
        <v>2069</v>
      </c>
      <c r="C355" s="28" t="s">
        <v>2234</v>
      </c>
      <c r="D355" s="1" t="s">
        <v>19</v>
      </c>
      <c r="E355" s="1" t="s">
        <v>1706</v>
      </c>
      <c r="F355" s="1" t="s">
        <v>2594</v>
      </c>
      <c r="G355" s="241" t="str">
        <f t="shared" si="5"/>
        <v>4081.2</v>
      </c>
      <c r="H355" s="168">
        <v>40</v>
      </c>
      <c r="I355" s="168">
        <v>8</v>
      </c>
      <c r="J355" s="168">
        <v>1.2</v>
      </c>
      <c r="K355" s="168">
        <v>54</v>
      </c>
      <c r="L355" s="1"/>
    </row>
    <row r="356" spans="1:12" hidden="1">
      <c r="A356" s="30">
        <v>360</v>
      </c>
      <c r="B356" s="1" t="s">
        <v>2070</v>
      </c>
      <c r="C356" s="28" t="s">
        <v>2234</v>
      </c>
      <c r="D356" s="1" t="s">
        <v>19</v>
      </c>
      <c r="E356" s="1" t="s">
        <v>1706</v>
      </c>
      <c r="F356" s="1" t="s">
        <v>2595</v>
      </c>
      <c r="G356" s="241" t="str">
        <f t="shared" si="5"/>
        <v>5082</v>
      </c>
      <c r="H356" s="168">
        <v>50</v>
      </c>
      <c r="I356" s="168">
        <v>8</v>
      </c>
      <c r="J356" s="168">
        <v>2</v>
      </c>
      <c r="K356" s="168">
        <v>44</v>
      </c>
      <c r="L356" s="1"/>
    </row>
    <row r="357" spans="1:12" hidden="1">
      <c r="A357" s="30">
        <v>361</v>
      </c>
      <c r="B357" s="1" t="s">
        <v>2071</v>
      </c>
      <c r="C357" s="28" t="s">
        <v>2234</v>
      </c>
      <c r="D357" s="1" t="s">
        <v>19</v>
      </c>
      <c r="E357" s="1" t="s">
        <v>1706</v>
      </c>
      <c r="F357" s="1" t="s">
        <v>2596</v>
      </c>
      <c r="G357" s="241" t="str">
        <f t="shared" si="5"/>
        <v>6081.2</v>
      </c>
      <c r="H357" s="168">
        <v>60</v>
      </c>
      <c r="I357" s="168">
        <v>8</v>
      </c>
      <c r="J357" s="168">
        <v>1.2</v>
      </c>
      <c r="K357" s="168">
        <v>54</v>
      </c>
      <c r="L357" s="1"/>
    </row>
    <row r="358" spans="1:12" hidden="1">
      <c r="A358" s="30">
        <v>362</v>
      </c>
      <c r="B358" s="1" t="s">
        <v>2072</v>
      </c>
      <c r="C358" s="28" t="s">
        <v>2234</v>
      </c>
      <c r="D358" s="1" t="s">
        <v>19</v>
      </c>
      <c r="E358" s="1" t="s">
        <v>1706</v>
      </c>
      <c r="F358" s="1" t="s">
        <v>2597</v>
      </c>
      <c r="G358" s="241" t="str">
        <f t="shared" si="5"/>
        <v>6582</v>
      </c>
      <c r="H358" s="168">
        <v>65</v>
      </c>
      <c r="I358" s="168">
        <v>8</v>
      </c>
      <c r="J358" s="168">
        <v>2</v>
      </c>
      <c r="K358" s="168">
        <v>44</v>
      </c>
      <c r="L358" s="1"/>
    </row>
    <row r="359" spans="1:12" hidden="1">
      <c r="A359" s="30">
        <v>363</v>
      </c>
      <c r="B359" s="1" t="s">
        <v>2073</v>
      </c>
      <c r="C359" s="28" t="s">
        <v>2234</v>
      </c>
      <c r="D359" s="1" t="s">
        <v>19</v>
      </c>
      <c r="E359" s="1" t="s">
        <v>1706</v>
      </c>
      <c r="F359" s="1" t="s">
        <v>2598</v>
      </c>
      <c r="G359" s="241" t="str">
        <f t="shared" si="5"/>
        <v>8081.2</v>
      </c>
      <c r="H359" s="168">
        <v>80</v>
      </c>
      <c r="I359" s="168">
        <v>8</v>
      </c>
      <c r="J359" s="168">
        <v>1.2</v>
      </c>
      <c r="K359" s="168">
        <v>54</v>
      </c>
      <c r="L359" s="1"/>
    </row>
    <row r="360" spans="1:12" hidden="1">
      <c r="A360" s="30">
        <v>364</v>
      </c>
      <c r="B360" s="1" t="s">
        <v>2074</v>
      </c>
      <c r="C360" s="28" t="s">
        <v>2234</v>
      </c>
      <c r="D360" s="1" t="s">
        <v>19</v>
      </c>
      <c r="E360" s="1" t="s">
        <v>1706</v>
      </c>
      <c r="F360" s="1" t="s">
        <v>2599</v>
      </c>
      <c r="G360" s="241" t="str">
        <f t="shared" si="5"/>
        <v>8082</v>
      </c>
      <c r="H360" s="168">
        <v>80</v>
      </c>
      <c r="I360" s="168">
        <v>8</v>
      </c>
      <c r="J360" s="168">
        <v>2</v>
      </c>
      <c r="K360" s="168">
        <v>44</v>
      </c>
      <c r="L360" s="1"/>
    </row>
    <row r="361" spans="1:12" hidden="1">
      <c r="A361" s="30">
        <v>365</v>
      </c>
      <c r="B361" s="1" t="s">
        <v>2075</v>
      </c>
      <c r="C361" s="28" t="s">
        <v>2234</v>
      </c>
      <c r="D361" s="1" t="s">
        <v>14</v>
      </c>
      <c r="E361" s="1" t="s">
        <v>1699</v>
      </c>
      <c r="F361" s="1" t="s">
        <v>2600</v>
      </c>
      <c r="G361" s="241" t="str">
        <f t="shared" si="5"/>
        <v>10026.53</v>
      </c>
      <c r="H361" s="168">
        <v>100</v>
      </c>
      <c r="I361" s="168">
        <v>26.5</v>
      </c>
      <c r="J361" s="168">
        <v>3</v>
      </c>
      <c r="K361" s="168">
        <v>44</v>
      </c>
      <c r="L361" s="1"/>
    </row>
    <row r="362" spans="1:12" hidden="1">
      <c r="A362" s="30">
        <v>366</v>
      </c>
      <c r="B362" s="1" t="s">
        <v>2076</v>
      </c>
      <c r="C362" s="28" t="s">
        <v>2234</v>
      </c>
      <c r="D362" s="1" t="s">
        <v>14</v>
      </c>
      <c r="E362" s="1" t="s">
        <v>1699</v>
      </c>
      <c r="F362" s="1" t="s">
        <v>2601</v>
      </c>
      <c r="G362" s="241" t="str">
        <f t="shared" si="5"/>
        <v>16026.53</v>
      </c>
      <c r="H362" s="168">
        <v>160</v>
      </c>
      <c r="I362" s="168">
        <v>26.5</v>
      </c>
      <c r="J362" s="168">
        <v>3</v>
      </c>
      <c r="K362" s="168">
        <v>44</v>
      </c>
      <c r="L362" s="1"/>
    </row>
    <row r="363" spans="1:12" hidden="1">
      <c r="A363" s="30">
        <v>367</v>
      </c>
      <c r="B363" s="1" t="s">
        <v>2077</v>
      </c>
      <c r="C363" s="28" t="s">
        <v>2234</v>
      </c>
      <c r="D363" s="1" t="s">
        <v>14</v>
      </c>
      <c r="E363" s="1" t="s">
        <v>1699</v>
      </c>
      <c r="F363" s="1" t="s">
        <v>2602</v>
      </c>
      <c r="G363" s="241" t="str">
        <f t="shared" si="5"/>
        <v>5026.53</v>
      </c>
      <c r="H363" s="168">
        <v>50</v>
      </c>
      <c r="I363" s="168">
        <v>26.5</v>
      </c>
      <c r="J363" s="168">
        <v>3</v>
      </c>
      <c r="K363" s="168">
        <v>44</v>
      </c>
      <c r="L363" s="1"/>
    </row>
    <row r="364" spans="1:12" hidden="1">
      <c r="A364" s="30">
        <v>368</v>
      </c>
      <c r="B364" s="1" t="s">
        <v>2078</v>
      </c>
      <c r="C364" s="28" t="s">
        <v>2234</v>
      </c>
      <c r="D364" s="1" t="s">
        <v>16</v>
      </c>
      <c r="E364" s="1" t="s">
        <v>1700</v>
      </c>
      <c r="F364" s="1" t="s">
        <v>2603</v>
      </c>
      <c r="G364" s="241" t="str">
        <f t="shared" si="5"/>
        <v>14213.52</v>
      </c>
      <c r="H364" s="168">
        <v>142</v>
      </c>
      <c r="I364" s="168">
        <v>13.5</v>
      </c>
      <c r="J364" s="168">
        <v>2</v>
      </c>
      <c r="K364" s="168">
        <v>44</v>
      </c>
      <c r="L364" s="1"/>
    </row>
    <row r="365" spans="1:12" hidden="1">
      <c r="A365" s="30">
        <v>369</v>
      </c>
      <c r="B365" s="1" t="s">
        <v>2079</v>
      </c>
      <c r="C365" s="28" t="s">
        <v>2234</v>
      </c>
      <c r="D365" s="1" t="s">
        <v>16</v>
      </c>
      <c r="E365" s="1" t="s">
        <v>1700</v>
      </c>
      <c r="F365" s="1" t="s">
        <v>2604</v>
      </c>
      <c r="G365" s="241" t="str">
        <f t="shared" si="5"/>
        <v>14218.52</v>
      </c>
      <c r="H365" s="168">
        <v>142</v>
      </c>
      <c r="I365" s="168">
        <v>18.5</v>
      </c>
      <c r="J365" s="168">
        <v>2</v>
      </c>
      <c r="K365" s="168">
        <v>44</v>
      </c>
      <c r="L365" s="1"/>
    </row>
    <row r="366" spans="1:12" hidden="1">
      <c r="A366" s="30">
        <v>370</v>
      </c>
      <c r="B366" s="1" t="s">
        <v>2080</v>
      </c>
      <c r="C366" s="28" t="s">
        <v>2234</v>
      </c>
      <c r="D366" s="1" t="s">
        <v>16</v>
      </c>
      <c r="E366" s="1" t="s">
        <v>1700</v>
      </c>
      <c r="F366" s="1" t="s">
        <v>2605</v>
      </c>
      <c r="G366" s="241" t="str">
        <f t="shared" si="5"/>
        <v>15813.52</v>
      </c>
      <c r="H366" s="168">
        <v>158</v>
      </c>
      <c r="I366" s="168">
        <v>13.5</v>
      </c>
      <c r="J366" s="168">
        <v>2</v>
      </c>
      <c r="K366" s="168">
        <v>44</v>
      </c>
      <c r="L366" s="1"/>
    </row>
    <row r="367" spans="1:12" hidden="1">
      <c r="A367" s="30">
        <v>371</v>
      </c>
      <c r="B367" s="1" t="s">
        <v>2081</v>
      </c>
      <c r="C367" s="28" t="s">
        <v>2234</v>
      </c>
      <c r="D367" s="1" t="s">
        <v>16</v>
      </c>
      <c r="E367" s="1" t="s">
        <v>1700</v>
      </c>
      <c r="F367" s="1" t="s">
        <v>2606</v>
      </c>
      <c r="G367" s="241" t="str">
        <f t="shared" si="5"/>
        <v>142343</v>
      </c>
      <c r="H367" s="168">
        <v>142</v>
      </c>
      <c r="I367" s="168">
        <v>34</v>
      </c>
      <c r="J367" s="168">
        <v>3</v>
      </c>
      <c r="K367" s="168">
        <v>44</v>
      </c>
      <c r="L367" s="1"/>
    </row>
    <row r="368" spans="1:12" hidden="1">
      <c r="A368" s="30">
        <v>372</v>
      </c>
      <c r="B368" s="1" t="s">
        <v>2082</v>
      </c>
      <c r="C368" s="28" t="s">
        <v>2234</v>
      </c>
      <c r="D368" s="1" t="s">
        <v>16</v>
      </c>
      <c r="E368" s="1" t="s">
        <v>1700</v>
      </c>
      <c r="F368" s="1" t="s">
        <v>2607</v>
      </c>
      <c r="G368" s="241" t="str">
        <f t="shared" si="5"/>
        <v>142703</v>
      </c>
      <c r="H368" s="168">
        <v>142</v>
      </c>
      <c r="I368" s="168">
        <v>70</v>
      </c>
      <c r="J368" s="168">
        <v>3</v>
      </c>
      <c r="K368" s="168">
        <v>44</v>
      </c>
      <c r="L368" s="1"/>
    </row>
    <row r="369" spans="1:12" hidden="1">
      <c r="A369" s="30">
        <v>373</v>
      </c>
      <c r="B369" s="1" t="s">
        <v>2083</v>
      </c>
      <c r="C369" s="28" t="s">
        <v>2234</v>
      </c>
      <c r="D369" s="1" t="s">
        <v>16</v>
      </c>
      <c r="E369" s="1" t="s">
        <v>1700</v>
      </c>
      <c r="F369" s="1" t="s">
        <v>2608</v>
      </c>
      <c r="G369" s="241" t="str">
        <f t="shared" si="5"/>
        <v>145683</v>
      </c>
      <c r="H369" s="168">
        <v>145</v>
      </c>
      <c r="I369" s="168">
        <v>68</v>
      </c>
      <c r="J369" s="168">
        <v>3</v>
      </c>
      <c r="K369" s="168">
        <v>44</v>
      </c>
      <c r="L369" s="1"/>
    </row>
    <row r="370" spans="1:12" hidden="1">
      <c r="A370" s="30">
        <v>374</v>
      </c>
      <c r="B370" s="1" t="s">
        <v>2084</v>
      </c>
      <c r="C370" s="28" t="s">
        <v>2234</v>
      </c>
      <c r="D370" s="1" t="s">
        <v>16</v>
      </c>
      <c r="E370" s="1" t="s">
        <v>1700</v>
      </c>
      <c r="F370" s="1" t="s">
        <v>2609</v>
      </c>
      <c r="G370" s="241" t="str">
        <f t="shared" si="5"/>
        <v>148593</v>
      </c>
      <c r="H370" s="168">
        <v>148</v>
      </c>
      <c r="I370" s="168">
        <v>59</v>
      </c>
      <c r="J370" s="168">
        <v>3</v>
      </c>
      <c r="K370" s="168">
        <v>44</v>
      </c>
      <c r="L370" s="1"/>
    </row>
    <row r="371" spans="1:12" hidden="1">
      <c r="A371" s="30">
        <v>375</v>
      </c>
      <c r="B371" s="1" t="s">
        <v>2085</v>
      </c>
      <c r="C371" s="28" t="s">
        <v>2234</v>
      </c>
      <c r="D371" s="1" t="s">
        <v>14</v>
      </c>
      <c r="E371" s="1" t="s">
        <v>1701</v>
      </c>
      <c r="F371" s="1" t="s">
        <v>2610</v>
      </c>
      <c r="G371" s="241" t="str">
        <f t="shared" si="5"/>
        <v>351715</v>
      </c>
      <c r="H371" s="168">
        <v>35</v>
      </c>
      <c r="I371" s="168">
        <v>17</v>
      </c>
      <c r="J371" s="168">
        <v>15</v>
      </c>
      <c r="K371" s="168">
        <v>72</v>
      </c>
      <c r="L371" s="1"/>
    </row>
    <row r="372" spans="1:12" hidden="1">
      <c r="A372" s="30">
        <v>376</v>
      </c>
      <c r="B372" s="1" t="s">
        <v>2086</v>
      </c>
      <c r="C372" s="28" t="s">
        <v>2234</v>
      </c>
      <c r="D372" s="1" t="s">
        <v>14</v>
      </c>
      <c r="E372" s="1" t="s">
        <v>1701</v>
      </c>
      <c r="F372" s="1" t="s">
        <v>2611</v>
      </c>
      <c r="G372" s="241" t="str">
        <f t="shared" si="5"/>
        <v>402010</v>
      </c>
      <c r="H372" s="168">
        <v>40</v>
      </c>
      <c r="I372" s="168">
        <v>20</v>
      </c>
      <c r="J372" s="168">
        <v>10</v>
      </c>
      <c r="K372" s="168">
        <v>60</v>
      </c>
      <c r="L372" s="1"/>
    </row>
    <row r="373" spans="1:12" hidden="1">
      <c r="A373" s="30">
        <v>377</v>
      </c>
      <c r="B373" s="1" t="s">
        <v>2087</v>
      </c>
      <c r="C373" s="28" t="s">
        <v>2234</v>
      </c>
      <c r="D373" s="1" t="s">
        <v>14</v>
      </c>
      <c r="E373" s="1" t="s">
        <v>40</v>
      </c>
      <c r="F373" s="1" t="s">
        <v>2858</v>
      </c>
      <c r="G373" s="241" t="str">
        <f t="shared" si="5"/>
        <v>452015</v>
      </c>
      <c r="H373" s="168">
        <v>45</v>
      </c>
      <c r="I373" s="168">
        <v>20</v>
      </c>
      <c r="J373" s="168">
        <v>15</v>
      </c>
      <c r="K373" s="168">
        <v>30</v>
      </c>
      <c r="L373" s="1" t="s">
        <v>1707</v>
      </c>
    </row>
    <row r="374" spans="1:12" hidden="1">
      <c r="A374" s="30">
        <v>378</v>
      </c>
      <c r="B374" s="1" t="s">
        <v>2088</v>
      </c>
      <c r="C374" s="28" t="s">
        <v>2234</v>
      </c>
      <c r="D374" s="1" t="s">
        <v>14</v>
      </c>
      <c r="E374" s="1" t="s">
        <v>40</v>
      </c>
      <c r="F374" s="1" t="s">
        <v>2859</v>
      </c>
      <c r="G374" s="241" t="str">
        <f t="shared" si="5"/>
        <v>452022.5</v>
      </c>
      <c r="H374" s="168">
        <v>45</v>
      </c>
      <c r="I374" s="168">
        <v>20</v>
      </c>
      <c r="J374" s="168">
        <v>22.5</v>
      </c>
      <c r="K374" s="168">
        <v>21</v>
      </c>
      <c r="L374" s="1" t="s">
        <v>1708</v>
      </c>
    </row>
    <row r="375" spans="1:12" hidden="1">
      <c r="A375" s="30">
        <v>379</v>
      </c>
      <c r="B375" s="1" t="s">
        <v>2089</v>
      </c>
      <c r="C375" s="28" t="s">
        <v>2234</v>
      </c>
      <c r="D375" s="1" t="s">
        <v>14</v>
      </c>
      <c r="E375" s="1" t="s">
        <v>40</v>
      </c>
      <c r="F375" s="1" t="s">
        <v>2860</v>
      </c>
      <c r="G375" s="241" t="str">
        <f t="shared" si="5"/>
        <v>45207.5</v>
      </c>
      <c r="H375" s="168">
        <v>45</v>
      </c>
      <c r="I375" s="168">
        <v>20</v>
      </c>
      <c r="J375" s="168">
        <v>7.5</v>
      </c>
      <c r="K375" s="168">
        <v>60</v>
      </c>
      <c r="L375" s="1" t="s">
        <v>1709</v>
      </c>
    </row>
    <row r="376" spans="1:12" hidden="1">
      <c r="A376" s="30">
        <v>380</v>
      </c>
      <c r="B376" s="1" t="s">
        <v>2090</v>
      </c>
      <c r="C376" s="28" t="s">
        <v>2236</v>
      </c>
      <c r="D376" s="1" t="s">
        <v>13</v>
      </c>
      <c r="E376" s="1" t="s">
        <v>1696</v>
      </c>
      <c r="F376" s="1" t="s">
        <v>2612</v>
      </c>
      <c r="G376" s="241" t="str">
        <f t="shared" si="5"/>
        <v>999</v>
      </c>
      <c r="H376" s="168">
        <v>9</v>
      </c>
      <c r="I376" s="168">
        <v>9</v>
      </c>
      <c r="J376" s="168">
        <v>9</v>
      </c>
      <c r="K376" s="168">
        <v>500</v>
      </c>
      <c r="L376" s="1"/>
    </row>
    <row r="377" spans="1:12" hidden="1">
      <c r="A377" s="30">
        <v>381</v>
      </c>
      <c r="B377" s="1" t="s">
        <v>2091</v>
      </c>
      <c r="C377" s="28" t="s">
        <v>2236</v>
      </c>
      <c r="D377" s="1" t="s">
        <v>13</v>
      </c>
      <c r="E377" s="1" t="s">
        <v>1696</v>
      </c>
      <c r="F377" s="1" t="s">
        <v>2613</v>
      </c>
      <c r="G377" s="241" t="str">
        <f t="shared" si="5"/>
        <v>1999</v>
      </c>
      <c r="H377" s="168">
        <v>19</v>
      </c>
      <c r="I377" s="168">
        <v>9</v>
      </c>
      <c r="J377" s="168">
        <v>9</v>
      </c>
      <c r="K377" s="168">
        <v>250</v>
      </c>
      <c r="L377" s="1"/>
    </row>
    <row r="378" spans="1:12" hidden="1">
      <c r="A378" s="30">
        <v>382</v>
      </c>
      <c r="B378" s="1" t="s">
        <v>2092</v>
      </c>
      <c r="C378" s="28" t="s">
        <v>2236</v>
      </c>
      <c r="D378" s="1" t="s">
        <v>13</v>
      </c>
      <c r="E378" s="1" t="s">
        <v>1696</v>
      </c>
      <c r="F378" s="1" t="s">
        <v>2614</v>
      </c>
      <c r="G378" s="241" t="str">
        <f t="shared" si="5"/>
        <v>2999</v>
      </c>
      <c r="H378" s="168">
        <v>29</v>
      </c>
      <c r="I378" s="168">
        <v>9</v>
      </c>
      <c r="J378" s="168">
        <v>9</v>
      </c>
      <c r="K378" s="168">
        <v>180</v>
      </c>
      <c r="L378" s="1"/>
    </row>
    <row r="379" spans="1:12" hidden="1">
      <c r="A379" s="30">
        <v>383</v>
      </c>
      <c r="B379" s="1" t="s">
        <v>2093</v>
      </c>
      <c r="C379" s="28" t="s">
        <v>2236</v>
      </c>
      <c r="D379" s="1" t="s">
        <v>13</v>
      </c>
      <c r="E379" s="1" t="s">
        <v>1696</v>
      </c>
      <c r="F379" s="1" t="s">
        <v>2615</v>
      </c>
      <c r="G379" s="241" t="str">
        <f t="shared" si="5"/>
        <v>994.5</v>
      </c>
      <c r="H379" s="168">
        <v>9</v>
      </c>
      <c r="I379" s="168">
        <v>9</v>
      </c>
      <c r="J379" s="168">
        <v>4.5</v>
      </c>
      <c r="K379" s="168">
        <v>1000</v>
      </c>
      <c r="L379" s="1"/>
    </row>
    <row r="380" spans="1:12" hidden="1">
      <c r="A380" s="30">
        <v>384</v>
      </c>
      <c r="B380" s="1" t="s">
        <v>2094</v>
      </c>
      <c r="C380" s="28" t="s">
        <v>2236</v>
      </c>
      <c r="D380" s="1" t="s">
        <v>13</v>
      </c>
      <c r="E380" s="1" t="s">
        <v>1696</v>
      </c>
      <c r="F380" s="1" t="s">
        <v>2616</v>
      </c>
      <c r="G380" s="241" t="str">
        <f t="shared" si="5"/>
        <v>999</v>
      </c>
      <c r="H380" s="168">
        <v>9</v>
      </c>
      <c r="I380" s="168">
        <v>9</v>
      </c>
      <c r="J380" s="168">
        <v>9</v>
      </c>
      <c r="K380" s="168">
        <v>500</v>
      </c>
      <c r="L380" s="1"/>
    </row>
    <row r="381" spans="1:12" hidden="1">
      <c r="A381" s="30">
        <v>385</v>
      </c>
      <c r="B381" s="1" t="s">
        <v>2095</v>
      </c>
      <c r="C381" s="28" t="s">
        <v>2236</v>
      </c>
      <c r="D381" s="1" t="s">
        <v>13</v>
      </c>
      <c r="E381" s="1" t="s">
        <v>1696</v>
      </c>
      <c r="F381" s="1" t="s">
        <v>2617</v>
      </c>
      <c r="G381" s="241" t="str">
        <f t="shared" si="5"/>
        <v>14146</v>
      </c>
      <c r="H381" s="168">
        <v>14</v>
      </c>
      <c r="I381" s="168">
        <v>14</v>
      </c>
      <c r="J381" s="168">
        <v>6</v>
      </c>
      <c r="K381" s="168">
        <v>441</v>
      </c>
      <c r="L381" s="1"/>
    </row>
    <row r="382" spans="1:12" hidden="1">
      <c r="A382" s="30">
        <v>386</v>
      </c>
      <c r="B382" s="1" t="s">
        <v>2096</v>
      </c>
      <c r="C382" s="28" t="s">
        <v>2236</v>
      </c>
      <c r="D382" s="1" t="s">
        <v>15</v>
      </c>
      <c r="E382" s="1" t="s">
        <v>29</v>
      </c>
      <c r="F382" s="1" t="s">
        <v>2618</v>
      </c>
      <c r="G382" s="241" t="str">
        <f t="shared" ref="G382:G445" si="6">H382&amp;I382&amp;J382</f>
        <v>901212</v>
      </c>
      <c r="H382" s="168">
        <v>90</v>
      </c>
      <c r="I382" s="168">
        <v>12</v>
      </c>
      <c r="J382" s="168">
        <v>12</v>
      </c>
      <c r="K382" s="168">
        <v>30</v>
      </c>
      <c r="L382" s="1"/>
    </row>
    <row r="383" spans="1:12" hidden="1">
      <c r="A383" s="30">
        <v>387</v>
      </c>
      <c r="B383" s="1" t="s">
        <v>2097</v>
      </c>
      <c r="C383" s="28" t="s">
        <v>2236</v>
      </c>
      <c r="D383" s="1" t="s">
        <v>13</v>
      </c>
      <c r="E383" s="1" t="s">
        <v>10</v>
      </c>
      <c r="F383" s="1" t="s">
        <v>2619</v>
      </c>
      <c r="G383" s="241" t="str">
        <f t="shared" si="6"/>
        <v>30303</v>
      </c>
      <c r="H383" s="168">
        <v>30</v>
      </c>
      <c r="I383" s="168">
        <v>30</v>
      </c>
      <c r="J383" s="168">
        <v>3</v>
      </c>
      <c r="K383" s="168">
        <v>120</v>
      </c>
      <c r="L383" s="1"/>
    </row>
    <row r="384" spans="1:12" hidden="1">
      <c r="A384" s="30">
        <v>388</v>
      </c>
      <c r="B384" s="1" t="s">
        <v>2098</v>
      </c>
      <c r="C384" s="28" t="s">
        <v>2236</v>
      </c>
      <c r="D384" s="1" t="s">
        <v>13</v>
      </c>
      <c r="E384" s="1" t="s">
        <v>10</v>
      </c>
      <c r="F384" s="1" t="s">
        <v>2620</v>
      </c>
      <c r="G384" s="241" t="str">
        <f t="shared" si="6"/>
        <v>60303</v>
      </c>
      <c r="H384" s="168">
        <v>60</v>
      </c>
      <c r="I384" s="168">
        <v>30</v>
      </c>
      <c r="J384" s="168">
        <v>3</v>
      </c>
      <c r="K384" s="168">
        <v>60</v>
      </c>
      <c r="L384" s="1"/>
    </row>
    <row r="385" spans="1:12" hidden="1">
      <c r="A385" s="30">
        <v>389</v>
      </c>
      <c r="B385" s="1" t="s">
        <v>2099</v>
      </c>
      <c r="C385" s="28" t="s">
        <v>2236</v>
      </c>
      <c r="D385" s="1" t="s">
        <v>13</v>
      </c>
      <c r="E385" s="1" t="s">
        <v>10</v>
      </c>
      <c r="F385" s="1" t="s">
        <v>2621</v>
      </c>
      <c r="G385" s="241" t="str">
        <f t="shared" si="6"/>
        <v>60403</v>
      </c>
      <c r="H385" s="168">
        <v>60</v>
      </c>
      <c r="I385" s="168">
        <v>40</v>
      </c>
      <c r="J385" s="168">
        <v>3</v>
      </c>
      <c r="K385" s="168">
        <v>50</v>
      </c>
      <c r="L385" s="1"/>
    </row>
    <row r="386" spans="1:12" hidden="1">
      <c r="A386" s="30">
        <v>390</v>
      </c>
      <c r="B386" s="1" t="s">
        <v>2100</v>
      </c>
      <c r="C386" s="28" t="s">
        <v>2236</v>
      </c>
      <c r="D386" s="1" t="s">
        <v>13</v>
      </c>
      <c r="E386" s="1" t="s">
        <v>10</v>
      </c>
      <c r="F386" s="1" t="s">
        <v>2622</v>
      </c>
      <c r="G386" s="241" t="str">
        <f t="shared" si="6"/>
        <v>90453</v>
      </c>
      <c r="H386" s="168">
        <v>90</v>
      </c>
      <c r="I386" s="168">
        <v>45</v>
      </c>
      <c r="J386" s="168">
        <v>3</v>
      </c>
      <c r="K386" s="168">
        <v>30</v>
      </c>
      <c r="L386" s="1"/>
    </row>
    <row r="387" spans="1:12" hidden="1">
      <c r="A387" s="30">
        <v>391</v>
      </c>
      <c r="B387" s="1" t="s">
        <v>2101</v>
      </c>
      <c r="C387" s="28" t="s">
        <v>2237</v>
      </c>
      <c r="D387" s="1" t="s">
        <v>13</v>
      </c>
      <c r="E387" s="1" t="s">
        <v>1696</v>
      </c>
      <c r="F387" s="1" t="s">
        <v>2623</v>
      </c>
      <c r="G387" s="241" t="str">
        <f t="shared" si="6"/>
        <v>1999</v>
      </c>
      <c r="H387" s="168">
        <v>19</v>
      </c>
      <c r="I387" s="168">
        <v>9</v>
      </c>
      <c r="J387" s="168">
        <v>9</v>
      </c>
      <c r="K387" s="168">
        <v>250</v>
      </c>
      <c r="L387" s="1"/>
    </row>
    <row r="388" spans="1:12" hidden="1">
      <c r="A388" s="30">
        <v>392</v>
      </c>
      <c r="B388" s="1" t="s">
        <v>2102</v>
      </c>
      <c r="C388" s="28" t="s">
        <v>2237</v>
      </c>
      <c r="D388" s="1" t="s">
        <v>13</v>
      </c>
      <c r="E388" s="1" t="s">
        <v>1696</v>
      </c>
      <c r="F388" s="1" t="s">
        <v>2624</v>
      </c>
      <c r="G388" s="241" t="str">
        <f t="shared" si="6"/>
        <v>999</v>
      </c>
      <c r="H388" s="168">
        <v>9</v>
      </c>
      <c r="I388" s="168">
        <v>9</v>
      </c>
      <c r="J388" s="168">
        <v>9</v>
      </c>
      <c r="K388" s="168">
        <v>500</v>
      </c>
      <c r="L388" s="1"/>
    </row>
    <row r="389" spans="1:12" hidden="1">
      <c r="A389" s="30">
        <v>393</v>
      </c>
      <c r="B389" s="1" t="s">
        <v>2103</v>
      </c>
      <c r="C389" s="28" t="s">
        <v>2237</v>
      </c>
      <c r="D389" s="1" t="s">
        <v>15</v>
      </c>
      <c r="E389" s="1" t="s">
        <v>29</v>
      </c>
      <c r="F389" s="1" t="s">
        <v>2625</v>
      </c>
      <c r="G389" s="241" t="str">
        <f t="shared" si="6"/>
        <v>901010</v>
      </c>
      <c r="H389" s="168">
        <v>90</v>
      </c>
      <c r="I389" s="168">
        <v>10</v>
      </c>
      <c r="J389" s="168">
        <v>10</v>
      </c>
      <c r="K389" s="168">
        <v>40</v>
      </c>
      <c r="L389" s="1"/>
    </row>
    <row r="390" spans="1:12" hidden="1">
      <c r="A390" s="30">
        <v>394</v>
      </c>
      <c r="B390" s="1" t="s">
        <v>2104</v>
      </c>
      <c r="C390" s="28" t="s">
        <v>2238</v>
      </c>
      <c r="D390" s="1" t="s">
        <v>13</v>
      </c>
      <c r="E390" s="1" t="s">
        <v>1696</v>
      </c>
      <c r="F390" s="1" t="s">
        <v>2626</v>
      </c>
      <c r="G390" s="241" t="str">
        <f t="shared" si="6"/>
        <v>10105</v>
      </c>
      <c r="H390" s="168">
        <v>10</v>
      </c>
      <c r="I390" s="168">
        <v>10</v>
      </c>
      <c r="J390" s="168">
        <v>5</v>
      </c>
      <c r="K390" s="168">
        <v>1000</v>
      </c>
      <c r="L390" s="1"/>
    </row>
    <row r="391" spans="1:12" hidden="1">
      <c r="A391" s="30">
        <v>395</v>
      </c>
      <c r="B391" s="1" t="s">
        <v>2105</v>
      </c>
      <c r="C391" s="28" t="s">
        <v>2238</v>
      </c>
      <c r="D391" s="1" t="s">
        <v>13</v>
      </c>
      <c r="E391" s="1" t="s">
        <v>1696</v>
      </c>
      <c r="F391" s="1" t="s">
        <v>2627</v>
      </c>
      <c r="G391" s="241" t="str">
        <f t="shared" si="6"/>
        <v>20107</v>
      </c>
      <c r="H391" s="168">
        <v>20</v>
      </c>
      <c r="I391" s="168">
        <v>10</v>
      </c>
      <c r="J391" s="168">
        <v>7</v>
      </c>
      <c r="K391" s="168">
        <v>400</v>
      </c>
      <c r="L391" s="1"/>
    </row>
    <row r="392" spans="1:12" hidden="1">
      <c r="A392" s="30">
        <v>396</v>
      </c>
      <c r="B392" s="1" t="s">
        <v>2106</v>
      </c>
      <c r="C392" s="28" t="s">
        <v>2238</v>
      </c>
      <c r="D392" s="1" t="s">
        <v>13</v>
      </c>
      <c r="E392" s="1" t="s">
        <v>1696</v>
      </c>
      <c r="F392" s="1" t="s">
        <v>2628</v>
      </c>
      <c r="G392" s="241" t="str">
        <f t="shared" si="6"/>
        <v>1999</v>
      </c>
      <c r="H392" s="168">
        <v>19</v>
      </c>
      <c r="I392" s="168">
        <v>9</v>
      </c>
      <c r="J392" s="168">
        <v>9</v>
      </c>
      <c r="K392" s="168">
        <v>250</v>
      </c>
      <c r="L392" s="1"/>
    </row>
    <row r="393" spans="1:12" hidden="1">
      <c r="A393" s="30">
        <v>397</v>
      </c>
      <c r="B393" s="1" t="s">
        <v>2107</v>
      </c>
      <c r="C393" s="28" t="s">
        <v>2238</v>
      </c>
      <c r="D393" s="1" t="s">
        <v>13</v>
      </c>
      <c r="E393" s="1" t="s">
        <v>1696</v>
      </c>
      <c r="F393" s="1" t="s">
        <v>2629</v>
      </c>
      <c r="G393" s="241" t="str">
        <f t="shared" si="6"/>
        <v>999</v>
      </c>
      <c r="H393" s="168">
        <v>9</v>
      </c>
      <c r="I393" s="168">
        <v>9</v>
      </c>
      <c r="J393" s="168">
        <v>9</v>
      </c>
      <c r="K393" s="168">
        <v>500</v>
      </c>
      <c r="L393" s="1"/>
    </row>
    <row r="394" spans="1:12" hidden="1">
      <c r="A394" s="30">
        <v>398</v>
      </c>
      <c r="B394" s="1" t="s">
        <v>2108</v>
      </c>
      <c r="C394" s="28" t="s">
        <v>2238</v>
      </c>
      <c r="D394" s="1" t="s">
        <v>13</v>
      </c>
      <c r="E394" s="1" t="s">
        <v>1696</v>
      </c>
      <c r="F394" s="1" t="s">
        <v>2630</v>
      </c>
      <c r="G394" s="241" t="str">
        <f t="shared" si="6"/>
        <v>1999</v>
      </c>
      <c r="H394" s="168">
        <v>19</v>
      </c>
      <c r="I394" s="168">
        <v>9</v>
      </c>
      <c r="J394" s="168">
        <v>9</v>
      </c>
      <c r="K394" s="168">
        <v>250</v>
      </c>
      <c r="L394" s="1"/>
    </row>
    <row r="395" spans="1:12" hidden="1">
      <c r="A395" s="30">
        <v>399</v>
      </c>
      <c r="B395" s="1" t="s">
        <v>2109</v>
      </c>
      <c r="C395" s="28" t="s">
        <v>2238</v>
      </c>
      <c r="D395" s="1" t="s">
        <v>13</v>
      </c>
      <c r="E395" s="1" t="s">
        <v>1696</v>
      </c>
      <c r="F395" s="1" t="s">
        <v>2631</v>
      </c>
      <c r="G395" s="241" t="str">
        <f t="shared" si="6"/>
        <v>2999</v>
      </c>
      <c r="H395" s="168">
        <v>29</v>
      </c>
      <c r="I395" s="168">
        <v>9</v>
      </c>
      <c r="J395" s="168">
        <v>9</v>
      </c>
      <c r="K395" s="168">
        <v>180</v>
      </c>
      <c r="L395" s="1"/>
    </row>
    <row r="396" spans="1:12" hidden="1">
      <c r="A396" s="30">
        <v>400</v>
      </c>
      <c r="B396" s="1" t="s">
        <v>2110</v>
      </c>
      <c r="C396" s="28" t="s">
        <v>2238</v>
      </c>
      <c r="D396" s="1" t="s">
        <v>13</v>
      </c>
      <c r="E396" s="1" t="s">
        <v>1696</v>
      </c>
      <c r="F396" s="1" t="s">
        <v>2632</v>
      </c>
      <c r="G396" s="241" t="str">
        <f t="shared" si="6"/>
        <v>995</v>
      </c>
      <c r="H396" s="168">
        <v>9</v>
      </c>
      <c r="I396" s="168">
        <v>9</v>
      </c>
      <c r="J396" s="168">
        <v>5</v>
      </c>
      <c r="K396" s="168">
        <v>1000</v>
      </c>
      <c r="L396" s="1"/>
    </row>
    <row r="397" spans="1:12" hidden="1">
      <c r="A397" s="30">
        <v>401</v>
      </c>
      <c r="B397" s="1" t="s">
        <v>2111</v>
      </c>
      <c r="C397" s="28" t="s">
        <v>2238</v>
      </c>
      <c r="D397" s="1" t="s">
        <v>13</v>
      </c>
      <c r="E397" s="1" t="s">
        <v>1696</v>
      </c>
      <c r="F397" s="1" t="s">
        <v>2633</v>
      </c>
      <c r="G397" s="241" t="str">
        <f t="shared" si="6"/>
        <v>999</v>
      </c>
      <c r="H397" s="168">
        <v>9</v>
      </c>
      <c r="I397" s="168">
        <v>9</v>
      </c>
      <c r="J397" s="168">
        <v>9</v>
      </c>
      <c r="K397" s="168">
        <v>500</v>
      </c>
      <c r="L397" s="1"/>
    </row>
    <row r="398" spans="1:12" hidden="1">
      <c r="A398" s="30">
        <v>402</v>
      </c>
      <c r="B398" s="1" t="s">
        <v>2112</v>
      </c>
      <c r="C398" s="28" t="s">
        <v>2238</v>
      </c>
      <c r="D398" s="1" t="s">
        <v>13</v>
      </c>
      <c r="E398" s="1" t="s">
        <v>1696</v>
      </c>
      <c r="F398" s="1" t="s">
        <v>2634</v>
      </c>
      <c r="G398" s="241" t="str">
        <f t="shared" si="6"/>
        <v>993</v>
      </c>
      <c r="H398" s="168">
        <v>9</v>
      </c>
      <c r="I398" s="168">
        <v>9</v>
      </c>
      <c r="J398" s="168">
        <v>3</v>
      </c>
      <c r="K398" s="168">
        <v>1500</v>
      </c>
      <c r="L398" s="1"/>
    </row>
    <row r="399" spans="1:12" hidden="1">
      <c r="A399" s="30">
        <v>403</v>
      </c>
      <c r="B399" s="1" t="s">
        <v>2113</v>
      </c>
      <c r="C399" s="28" t="s">
        <v>2238</v>
      </c>
      <c r="D399" s="1" t="s">
        <v>15</v>
      </c>
      <c r="E399" s="1" t="s">
        <v>29</v>
      </c>
      <c r="F399" s="1" t="s">
        <v>2635</v>
      </c>
      <c r="G399" s="241" t="str">
        <f t="shared" si="6"/>
        <v>1801512</v>
      </c>
      <c r="H399" s="168">
        <v>180</v>
      </c>
      <c r="I399" s="168">
        <v>15</v>
      </c>
      <c r="J399" s="168">
        <v>12</v>
      </c>
      <c r="K399" s="168">
        <v>15</v>
      </c>
      <c r="L399" s="1"/>
    </row>
    <row r="400" spans="1:12" hidden="1">
      <c r="A400" s="30">
        <v>404</v>
      </c>
      <c r="B400" s="1" t="s">
        <v>2114</v>
      </c>
      <c r="C400" s="28" t="s">
        <v>2238</v>
      </c>
      <c r="D400" s="1" t="s">
        <v>15</v>
      </c>
      <c r="E400" s="1" t="s">
        <v>29</v>
      </c>
      <c r="F400" s="1" t="s">
        <v>2636</v>
      </c>
      <c r="G400" s="241" t="str">
        <f t="shared" si="6"/>
        <v>601010</v>
      </c>
      <c r="H400" s="168">
        <v>60</v>
      </c>
      <c r="I400" s="168">
        <v>10</v>
      </c>
      <c r="J400" s="168">
        <v>10</v>
      </c>
      <c r="K400" s="168">
        <v>60</v>
      </c>
      <c r="L400" s="1"/>
    </row>
    <row r="401" spans="1:12" hidden="1">
      <c r="A401" s="30">
        <v>405</v>
      </c>
      <c r="B401" s="1" t="s">
        <v>2115</v>
      </c>
      <c r="C401" s="28" t="s">
        <v>2238</v>
      </c>
      <c r="D401" s="1" t="s">
        <v>15</v>
      </c>
      <c r="E401" s="1" t="s">
        <v>29</v>
      </c>
      <c r="F401" s="1" t="s">
        <v>2637</v>
      </c>
      <c r="G401" s="241" t="str">
        <f t="shared" si="6"/>
        <v>601512</v>
      </c>
      <c r="H401" s="168">
        <v>60</v>
      </c>
      <c r="I401" s="168">
        <v>15</v>
      </c>
      <c r="J401" s="168">
        <v>12</v>
      </c>
      <c r="K401" s="168">
        <v>40</v>
      </c>
      <c r="L401" s="1"/>
    </row>
    <row r="402" spans="1:12" hidden="1">
      <c r="A402" s="30">
        <v>406</v>
      </c>
      <c r="B402" s="1" t="s">
        <v>2116</v>
      </c>
      <c r="C402" s="28" t="s">
        <v>2238</v>
      </c>
      <c r="D402" s="1" t="s">
        <v>15</v>
      </c>
      <c r="E402" s="1" t="s">
        <v>29</v>
      </c>
      <c r="F402" s="1" t="s">
        <v>2638</v>
      </c>
      <c r="G402" s="241" t="str">
        <f t="shared" si="6"/>
        <v>6099</v>
      </c>
      <c r="H402" s="168">
        <v>60</v>
      </c>
      <c r="I402" s="168">
        <v>9</v>
      </c>
      <c r="J402" s="168">
        <v>9</v>
      </c>
      <c r="K402" s="168">
        <v>80</v>
      </c>
      <c r="L402" s="1"/>
    </row>
    <row r="403" spans="1:12" hidden="1">
      <c r="A403" s="30">
        <v>407</v>
      </c>
      <c r="B403" s="1" t="s">
        <v>2117</v>
      </c>
      <c r="C403" s="28" t="s">
        <v>2238</v>
      </c>
      <c r="D403" s="1" t="s">
        <v>15</v>
      </c>
      <c r="E403" s="1" t="s">
        <v>29</v>
      </c>
      <c r="F403" s="1" t="s">
        <v>2639</v>
      </c>
      <c r="G403" s="241" t="str">
        <f t="shared" si="6"/>
        <v>901010</v>
      </c>
      <c r="H403" s="168">
        <v>90</v>
      </c>
      <c r="I403" s="168">
        <v>10</v>
      </c>
      <c r="J403" s="168">
        <v>10</v>
      </c>
      <c r="K403" s="168">
        <v>40</v>
      </c>
      <c r="L403" s="1"/>
    </row>
    <row r="404" spans="1:12" hidden="1">
      <c r="A404" s="30">
        <v>408</v>
      </c>
      <c r="B404" s="1" t="s">
        <v>2118</v>
      </c>
      <c r="C404" s="28" t="s">
        <v>2238</v>
      </c>
      <c r="D404" s="1" t="s">
        <v>15</v>
      </c>
      <c r="E404" s="1" t="s">
        <v>29</v>
      </c>
      <c r="F404" s="1" t="s">
        <v>2640</v>
      </c>
      <c r="G404" s="241" t="str">
        <f t="shared" si="6"/>
        <v>901510</v>
      </c>
      <c r="H404" s="168">
        <v>90</v>
      </c>
      <c r="I404" s="168">
        <v>15</v>
      </c>
      <c r="J404" s="168">
        <v>10</v>
      </c>
      <c r="K404" s="168">
        <v>30</v>
      </c>
      <c r="L404" s="1"/>
    </row>
    <row r="405" spans="1:12" hidden="1">
      <c r="A405" s="30">
        <v>409</v>
      </c>
      <c r="B405" s="1" t="s">
        <v>2119</v>
      </c>
      <c r="C405" s="28" t="s">
        <v>2238</v>
      </c>
      <c r="D405" s="1" t="s">
        <v>15</v>
      </c>
      <c r="E405" s="1" t="s">
        <v>29</v>
      </c>
      <c r="F405" s="1" t="s">
        <v>2641</v>
      </c>
      <c r="G405" s="241" t="str">
        <f t="shared" si="6"/>
        <v>901512</v>
      </c>
      <c r="H405" s="168">
        <v>90</v>
      </c>
      <c r="I405" s="168">
        <v>15</v>
      </c>
      <c r="J405" s="168">
        <v>12</v>
      </c>
      <c r="K405" s="168">
        <v>30</v>
      </c>
      <c r="L405" s="1"/>
    </row>
    <row r="406" spans="1:12" hidden="1">
      <c r="A406" s="30">
        <v>410</v>
      </c>
      <c r="B406" s="1" t="s">
        <v>2120</v>
      </c>
      <c r="C406" s="28" t="s">
        <v>2238</v>
      </c>
      <c r="D406" s="1" t="s">
        <v>15</v>
      </c>
      <c r="E406" s="1" t="s">
        <v>29</v>
      </c>
      <c r="F406" s="1" t="s">
        <v>2642</v>
      </c>
      <c r="G406" s="241" t="str">
        <f t="shared" si="6"/>
        <v>1802010</v>
      </c>
      <c r="H406" s="168">
        <v>180</v>
      </c>
      <c r="I406" s="168">
        <v>20</v>
      </c>
      <c r="J406" s="168">
        <v>10</v>
      </c>
      <c r="K406" s="168">
        <v>10</v>
      </c>
      <c r="L406" s="1"/>
    </row>
    <row r="407" spans="1:12" hidden="1">
      <c r="A407" s="30">
        <v>411</v>
      </c>
      <c r="B407" s="1" t="s">
        <v>2121</v>
      </c>
      <c r="C407" s="28" t="s">
        <v>2238</v>
      </c>
      <c r="D407" s="1" t="s">
        <v>15</v>
      </c>
      <c r="E407" s="1" t="s">
        <v>29</v>
      </c>
      <c r="F407" s="1" t="s">
        <v>2643</v>
      </c>
      <c r="G407" s="241" t="str">
        <f t="shared" si="6"/>
        <v>1802412</v>
      </c>
      <c r="H407" s="168">
        <v>180</v>
      </c>
      <c r="I407" s="168">
        <v>24</v>
      </c>
      <c r="J407" s="168">
        <v>12</v>
      </c>
      <c r="K407" s="168">
        <v>8</v>
      </c>
      <c r="L407" s="1"/>
    </row>
    <row r="408" spans="1:12" hidden="1">
      <c r="A408" s="30">
        <v>412</v>
      </c>
      <c r="B408" s="1" t="s">
        <v>2122</v>
      </c>
      <c r="C408" s="28" t="s">
        <v>2238</v>
      </c>
      <c r="D408" s="1" t="s">
        <v>15</v>
      </c>
      <c r="E408" s="1" t="s">
        <v>29</v>
      </c>
      <c r="F408" s="1" t="s">
        <v>2644</v>
      </c>
      <c r="G408" s="241" t="str">
        <f t="shared" si="6"/>
        <v>901510</v>
      </c>
      <c r="H408" s="168">
        <v>90</v>
      </c>
      <c r="I408" s="168">
        <v>15</v>
      </c>
      <c r="J408" s="168">
        <v>10</v>
      </c>
      <c r="K408" s="168">
        <v>30</v>
      </c>
      <c r="L408" s="1"/>
    </row>
    <row r="409" spans="1:12" hidden="1">
      <c r="A409" s="30">
        <v>413</v>
      </c>
      <c r="B409" s="1" t="s">
        <v>2123</v>
      </c>
      <c r="C409" s="28" t="s">
        <v>2238</v>
      </c>
      <c r="D409" s="1" t="s">
        <v>15</v>
      </c>
      <c r="E409" s="1" t="s">
        <v>29</v>
      </c>
      <c r="F409" s="1" t="s">
        <v>2645</v>
      </c>
      <c r="G409" s="241" t="str">
        <f t="shared" si="6"/>
        <v>601210</v>
      </c>
      <c r="H409" s="168">
        <v>60</v>
      </c>
      <c r="I409" s="168">
        <v>12</v>
      </c>
      <c r="J409" s="168">
        <v>10</v>
      </c>
      <c r="K409" s="168">
        <v>60</v>
      </c>
      <c r="L409" s="1"/>
    </row>
    <row r="410" spans="1:12" hidden="1">
      <c r="A410" s="30">
        <v>414</v>
      </c>
      <c r="B410" s="1" t="s">
        <v>2124</v>
      </c>
      <c r="C410" s="28" t="s">
        <v>2238</v>
      </c>
      <c r="D410" s="1" t="s">
        <v>13</v>
      </c>
      <c r="E410" s="1" t="s">
        <v>10</v>
      </c>
      <c r="F410" s="1" t="s">
        <v>2646</v>
      </c>
      <c r="G410" s="241" t="str">
        <f t="shared" si="6"/>
        <v>30306</v>
      </c>
      <c r="H410" s="168">
        <v>30</v>
      </c>
      <c r="I410" s="168">
        <v>30</v>
      </c>
      <c r="J410" s="168">
        <v>6</v>
      </c>
      <c r="K410" s="168">
        <v>72</v>
      </c>
      <c r="L410" s="1"/>
    </row>
    <row r="411" spans="1:12" hidden="1">
      <c r="A411" s="30">
        <v>415</v>
      </c>
      <c r="B411" s="1" t="s">
        <v>2125</v>
      </c>
      <c r="C411" s="28" t="s">
        <v>2238</v>
      </c>
      <c r="D411" s="1" t="s">
        <v>13</v>
      </c>
      <c r="E411" s="1" t="s">
        <v>10</v>
      </c>
      <c r="F411" s="1" t="s">
        <v>2647</v>
      </c>
      <c r="G411" s="241" t="str">
        <f t="shared" si="6"/>
        <v>60305</v>
      </c>
      <c r="H411" s="168">
        <v>60</v>
      </c>
      <c r="I411" s="168">
        <v>30</v>
      </c>
      <c r="J411" s="168">
        <v>5</v>
      </c>
      <c r="K411" s="168">
        <v>48</v>
      </c>
      <c r="L411" s="1"/>
    </row>
    <row r="412" spans="1:12" hidden="1">
      <c r="A412" s="30">
        <v>416</v>
      </c>
      <c r="B412" s="1" t="s">
        <v>2126</v>
      </c>
      <c r="C412" s="28" t="s">
        <v>2238</v>
      </c>
      <c r="D412" s="1" t="s">
        <v>13</v>
      </c>
      <c r="E412" s="1" t="s">
        <v>10</v>
      </c>
      <c r="F412" s="1" t="s">
        <v>2648</v>
      </c>
      <c r="G412" s="241" t="str">
        <f t="shared" si="6"/>
        <v>60306</v>
      </c>
      <c r="H412" s="168">
        <v>60</v>
      </c>
      <c r="I412" s="168">
        <v>30</v>
      </c>
      <c r="J412" s="168">
        <v>6</v>
      </c>
      <c r="K412" s="168">
        <v>36</v>
      </c>
      <c r="L412" s="1"/>
    </row>
    <row r="413" spans="1:12" hidden="1">
      <c r="A413" s="30">
        <v>417</v>
      </c>
      <c r="B413" s="1" t="s">
        <v>2127</v>
      </c>
      <c r="C413" s="28" t="s">
        <v>2238</v>
      </c>
      <c r="D413" s="1" t="s">
        <v>13</v>
      </c>
      <c r="E413" s="1" t="s">
        <v>10</v>
      </c>
      <c r="F413" s="1" t="s">
        <v>2649</v>
      </c>
      <c r="G413" s="241" t="str">
        <f t="shared" si="6"/>
        <v>60406</v>
      </c>
      <c r="H413" s="168">
        <v>60</v>
      </c>
      <c r="I413" s="168">
        <v>40</v>
      </c>
      <c r="J413" s="168">
        <v>6</v>
      </c>
      <c r="K413" s="168">
        <v>28</v>
      </c>
      <c r="L413" s="1"/>
    </row>
    <row r="414" spans="1:12" hidden="1">
      <c r="A414" s="30">
        <v>418</v>
      </c>
      <c r="B414" s="1" t="s">
        <v>2128</v>
      </c>
      <c r="C414" s="28" t="s">
        <v>2238</v>
      </c>
      <c r="D414" s="1" t="s">
        <v>13</v>
      </c>
      <c r="E414" s="1" t="s">
        <v>10</v>
      </c>
      <c r="F414" s="1" t="s">
        <v>2650</v>
      </c>
      <c r="G414" s="241" t="str">
        <f t="shared" si="6"/>
        <v>80406</v>
      </c>
      <c r="H414" s="168">
        <v>80</v>
      </c>
      <c r="I414" s="168">
        <v>40</v>
      </c>
      <c r="J414" s="168">
        <v>6</v>
      </c>
      <c r="K414" s="168">
        <v>21</v>
      </c>
      <c r="L414" s="1"/>
    </row>
    <row r="415" spans="1:12" hidden="1">
      <c r="A415" s="30">
        <v>419</v>
      </c>
      <c r="B415" s="1" t="s">
        <v>2129</v>
      </c>
      <c r="C415" s="28" t="s">
        <v>2238</v>
      </c>
      <c r="D415" s="1" t="s">
        <v>13</v>
      </c>
      <c r="E415" s="1" t="s">
        <v>10</v>
      </c>
      <c r="F415" s="1" t="s">
        <v>2651</v>
      </c>
      <c r="G415" s="241" t="str">
        <f t="shared" si="6"/>
        <v>90457</v>
      </c>
      <c r="H415" s="168">
        <v>90</v>
      </c>
      <c r="I415" s="168">
        <v>45</v>
      </c>
      <c r="J415" s="168">
        <v>7</v>
      </c>
      <c r="K415" s="168">
        <v>14</v>
      </c>
      <c r="L415" s="1"/>
    </row>
    <row r="416" spans="1:12" hidden="1">
      <c r="A416" s="30">
        <v>420</v>
      </c>
      <c r="B416" s="1" t="s">
        <v>2130</v>
      </c>
      <c r="C416" s="28" t="s">
        <v>2238</v>
      </c>
      <c r="D416" s="1" t="s">
        <v>13</v>
      </c>
      <c r="E416" s="1" t="s">
        <v>10</v>
      </c>
      <c r="F416" s="1" t="s">
        <v>2652</v>
      </c>
      <c r="G416" s="241" t="str">
        <f t="shared" si="6"/>
        <v>90456</v>
      </c>
      <c r="H416" s="168">
        <v>90</v>
      </c>
      <c r="I416" s="168">
        <v>45</v>
      </c>
      <c r="J416" s="168">
        <v>6</v>
      </c>
      <c r="K416" s="168">
        <v>14</v>
      </c>
      <c r="L416" s="1"/>
    </row>
    <row r="417" spans="1:12" hidden="1">
      <c r="A417" s="30">
        <v>421</v>
      </c>
      <c r="B417" s="1" t="s">
        <v>2131</v>
      </c>
      <c r="C417" s="28" t="s">
        <v>2238</v>
      </c>
      <c r="D417" s="1" t="s">
        <v>13</v>
      </c>
      <c r="E417" s="1" t="s">
        <v>39</v>
      </c>
      <c r="F417" s="1" t="s">
        <v>2653</v>
      </c>
      <c r="G417" s="241" t="str">
        <f t="shared" si="6"/>
        <v>40407</v>
      </c>
      <c r="H417" s="168">
        <v>40</v>
      </c>
      <c r="I417" s="168">
        <v>40</v>
      </c>
      <c r="J417" s="168">
        <v>7</v>
      </c>
      <c r="K417" s="168">
        <v>40</v>
      </c>
      <c r="L417" s="1"/>
    </row>
    <row r="418" spans="1:12" hidden="1">
      <c r="A418" s="30">
        <v>422</v>
      </c>
      <c r="B418" s="1" t="s">
        <v>2132</v>
      </c>
      <c r="C418" s="28" t="s">
        <v>2239</v>
      </c>
      <c r="D418" s="1" t="s">
        <v>16</v>
      </c>
      <c r="E418" s="1" t="s">
        <v>1694</v>
      </c>
      <c r="F418" s="1" t="s">
        <v>2654</v>
      </c>
      <c r="G418" s="241" t="str">
        <f t="shared" si="6"/>
        <v>453530</v>
      </c>
      <c r="H418" s="168">
        <v>45</v>
      </c>
      <c r="I418" s="168">
        <v>35</v>
      </c>
      <c r="J418" s="168">
        <v>30</v>
      </c>
      <c r="K418" s="168">
        <v>8</v>
      </c>
      <c r="L418" s="1"/>
    </row>
    <row r="419" spans="1:12" hidden="1">
      <c r="A419" s="30">
        <v>423</v>
      </c>
      <c r="B419" s="1" t="s">
        <v>2133</v>
      </c>
      <c r="C419" s="28" t="s">
        <v>2239</v>
      </c>
      <c r="D419" s="1" t="s">
        <v>15</v>
      </c>
      <c r="E419" s="1" t="s">
        <v>1695</v>
      </c>
      <c r="F419" s="1" t="s">
        <v>2655</v>
      </c>
      <c r="G419" s="241" t="str">
        <f t="shared" si="6"/>
        <v>301510</v>
      </c>
      <c r="H419" s="168">
        <v>30</v>
      </c>
      <c r="I419" s="168">
        <v>15</v>
      </c>
      <c r="J419" s="168">
        <v>10</v>
      </c>
      <c r="K419" s="168">
        <v>126</v>
      </c>
      <c r="L419" s="1"/>
    </row>
    <row r="420" spans="1:12" hidden="1">
      <c r="A420" s="30">
        <v>424</v>
      </c>
      <c r="B420" s="1" t="s">
        <v>2134</v>
      </c>
      <c r="C420" s="28" t="s">
        <v>2239</v>
      </c>
      <c r="D420" s="1" t="s">
        <v>13</v>
      </c>
      <c r="E420" s="1" t="s">
        <v>1696</v>
      </c>
      <c r="F420" s="1" t="s">
        <v>2656</v>
      </c>
      <c r="G420" s="241" t="str">
        <f t="shared" si="6"/>
        <v>20107</v>
      </c>
      <c r="H420" s="168">
        <v>20</v>
      </c>
      <c r="I420" s="168">
        <v>10</v>
      </c>
      <c r="J420" s="168">
        <v>7</v>
      </c>
      <c r="K420" s="168">
        <v>400</v>
      </c>
      <c r="L420" s="1"/>
    </row>
    <row r="421" spans="1:12" hidden="1">
      <c r="A421" s="30">
        <v>425</v>
      </c>
      <c r="B421" s="1" t="s">
        <v>2135</v>
      </c>
      <c r="C421" s="28" t="s">
        <v>2239</v>
      </c>
      <c r="D421" s="1" t="s">
        <v>13</v>
      </c>
      <c r="E421" s="1" t="s">
        <v>1696</v>
      </c>
      <c r="F421" s="1" t="s">
        <v>2657</v>
      </c>
      <c r="G421" s="241" t="str">
        <f t="shared" si="6"/>
        <v>1999</v>
      </c>
      <c r="H421" s="168">
        <v>19</v>
      </c>
      <c r="I421" s="168">
        <v>9</v>
      </c>
      <c r="J421" s="168">
        <v>9</v>
      </c>
      <c r="K421" s="168">
        <v>250</v>
      </c>
      <c r="L421" s="1"/>
    </row>
    <row r="422" spans="1:12" hidden="1">
      <c r="A422" s="30">
        <v>426</v>
      </c>
      <c r="B422" s="1" t="s">
        <v>2136</v>
      </c>
      <c r="C422" s="28" t="s">
        <v>2239</v>
      </c>
      <c r="D422" s="1" t="s">
        <v>13</v>
      </c>
      <c r="E422" s="1" t="s">
        <v>1696</v>
      </c>
      <c r="F422" s="1" t="s">
        <v>2658</v>
      </c>
      <c r="G422" s="241" t="str">
        <f t="shared" si="6"/>
        <v>2999</v>
      </c>
      <c r="H422" s="168">
        <v>29</v>
      </c>
      <c r="I422" s="168">
        <v>9</v>
      </c>
      <c r="J422" s="168">
        <v>9</v>
      </c>
      <c r="K422" s="168">
        <v>180</v>
      </c>
      <c r="L422" s="1"/>
    </row>
    <row r="423" spans="1:12" hidden="1">
      <c r="A423" s="30">
        <v>427</v>
      </c>
      <c r="B423" s="1" t="s">
        <v>2137</v>
      </c>
      <c r="C423" s="28" t="s">
        <v>2239</v>
      </c>
      <c r="D423" s="1" t="s">
        <v>13</v>
      </c>
      <c r="E423" s="1" t="s">
        <v>1696</v>
      </c>
      <c r="F423" s="1" t="s">
        <v>2659</v>
      </c>
      <c r="G423" s="241" t="str">
        <f t="shared" si="6"/>
        <v>994.5</v>
      </c>
      <c r="H423" s="168">
        <v>9</v>
      </c>
      <c r="I423" s="168">
        <v>9</v>
      </c>
      <c r="J423" s="168">
        <v>4.5</v>
      </c>
      <c r="K423" s="168">
        <v>1000</v>
      </c>
      <c r="L423" s="1"/>
    </row>
    <row r="424" spans="1:12" hidden="1">
      <c r="A424" s="30">
        <v>428</v>
      </c>
      <c r="B424" s="1" t="s">
        <v>2138</v>
      </c>
      <c r="C424" s="28" t="s">
        <v>2239</v>
      </c>
      <c r="D424" s="1" t="s">
        <v>13</v>
      </c>
      <c r="E424" s="1" t="s">
        <v>1696</v>
      </c>
      <c r="F424" s="1" t="s">
        <v>2660</v>
      </c>
      <c r="G424" s="241" t="str">
        <f t="shared" si="6"/>
        <v>999</v>
      </c>
      <c r="H424" s="168">
        <v>9</v>
      </c>
      <c r="I424" s="168">
        <v>9</v>
      </c>
      <c r="J424" s="168">
        <v>9</v>
      </c>
      <c r="K424" s="168">
        <v>500</v>
      </c>
      <c r="L424" s="1"/>
    </row>
    <row r="425" spans="1:12" hidden="1">
      <c r="A425" s="30">
        <v>429</v>
      </c>
      <c r="B425" s="1" t="s">
        <v>2139</v>
      </c>
      <c r="C425" s="28" t="s">
        <v>2239</v>
      </c>
      <c r="D425" s="1" t="s">
        <v>15</v>
      </c>
      <c r="E425" s="1" t="s">
        <v>29</v>
      </c>
      <c r="F425" s="1" t="s">
        <v>2661</v>
      </c>
      <c r="G425" s="241" t="str">
        <f t="shared" si="6"/>
        <v>150307</v>
      </c>
      <c r="H425" s="168">
        <v>150</v>
      </c>
      <c r="I425" s="168">
        <v>30</v>
      </c>
      <c r="J425" s="168">
        <v>7</v>
      </c>
      <c r="K425" s="168">
        <v>12</v>
      </c>
      <c r="L425" s="1"/>
    </row>
    <row r="426" spans="1:12" hidden="1">
      <c r="A426" s="30">
        <v>430</v>
      </c>
      <c r="B426" s="1" t="s">
        <v>2140</v>
      </c>
      <c r="C426" s="28" t="s">
        <v>2239</v>
      </c>
      <c r="D426" s="1" t="s">
        <v>15</v>
      </c>
      <c r="E426" s="1" t="s">
        <v>29</v>
      </c>
      <c r="F426" s="1" t="s">
        <v>2662</v>
      </c>
      <c r="G426" s="241" t="str">
        <f t="shared" si="6"/>
        <v>180307</v>
      </c>
      <c r="H426" s="168">
        <v>180</v>
      </c>
      <c r="I426" s="168">
        <v>30</v>
      </c>
      <c r="J426" s="168">
        <v>7</v>
      </c>
      <c r="K426" s="168">
        <v>10</v>
      </c>
      <c r="L426" s="1"/>
    </row>
    <row r="427" spans="1:12" hidden="1">
      <c r="A427" s="30">
        <v>431</v>
      </c>
      <c r="B427" s="1" t="s">
        <v>2141</v>
      </c>
      <c r="C427" s="28" t="s">
        <v>2239</v>
      </c>
      <c r="D427" s="1" t="s">
        <v>15</v>
      </c>
      <c r="E427" s="1" t="s">
        <v>29</v>
      </c>
      <c r="F427" s="1" t="s">
        <v>2663</v>
      </c>
      <c r="G427" s="241" t="str">
        <f t="shared" si="6"/>
        <v>210307</v>
      </c>
      <c r="H427" s="168">
        <v>210</v>
      </c>
      <c r="I427" s="168">
        <v>30</v>
      </c>
      <c r="J427" s="168">
        <v>7</v>
      </c>
      <c r="K427" s="168">
        <v>8</v>
      </c>
      <c r="L427" s="1"/>
    </row>
    <row r="428" spans="1:12" hidden="1">
      <c r="A428" s="30">
        <v>432</v>
      </c>
      <c r="B428" s="1" t="s">
        <v>2142</v>
      </c>
      <c r="C428" s="28" t="s">
        <v>2239</v>
      </c>
      <c r="D428" s="1" t="s">
        <v>15</v>
      </c>
      <c r="E428" s="1" t="s">
        <v>29</v>
      </c>
      <c r="F428" s="1" t="s">
        <v>2664</v>
      </c>
      <c r="G428" s="241" t="str">
        <f t="shared" si="6"/>
        <v>1801512</v>
      </c>
      <c r="H428" s="168">
        <v>180</v>
      </c>
      <c r="I428" s="168">
        <v>15</v>
      </c>
      <c r="J428" s="168">
        <v>12</v>
      </c>
      <c r="K428" s="168">
        <v>15</v>
      </c>
      <c r="L428" s="1"/>
    </row>
    <row r="429" spans="1:12" hidden="1">
      <c r="A429" s="30">
        <v>433</v>
      </c>
      <c r="B429" s="1" t="s">
        <v>2143</v>
      </c>
      <c r="C429" s="28" t="s">
        <v>2239</v>
      </c>
      <c r="D429" s="1" t="s">
        <v>15</v>
      </c>
      <c r="E429" s="1" t="s">
        <v>29</v>
      </c>
      <c r="F429" s="1" t="s">
        <v>2665</v>
      </c>
      <c r="G429" s="241" t="str">
        <f t="shared" si="6"/>
        <v>501510</v>
      </c>
      <c r="H429" s="168">
        <v>50</v>
      </c>
      <c r="I429" s="168">
        <v>15</v>
      </c>
      <c r="J429" s="168">
        <v>10</v>
      </c>
      <c r="K429" s="168">
        <v>60</v>
      </c>
      <c r="L429" s="1"/>
    </row>
    <row r="430" spans="1:12" hidden="1">
      <c r="A430" s="30">
        <v>434</v>
      </c>
      <c r="B430" s="1" t="s">
        <v>2144</v>
      </c>
      <c r="C430" s="28" t="s">
        <v>2239</v>
      </c>
      <c r="D430" s="1" t="s">
        <v>15</v>
      </c>
      <c r="E430" s="1" t="s">
        <v>29</v>
      </c>
      <c r="F430" s="1" t="s">
        <v>2666</v>
      </c>
      <c r="G430" s="241" t="str">
        <f t="shared" si="6"/>
        <v>601010</v>
      </c>
      <c r="H430" s="168">
        <v>60</v>
      </c>
      <c r="I430" s="168">
        <v>10</v>
      </c>
      <c r="J430" s="168">
        <v>10</v>
      </c>
      <c r="K430" s="168">
        <v>60</v>
      </c>
      <c r="L430" s="1"/>
    </row>
    <row r="431" spans="1:12" hidden="1">
      <c r="A431" s="30">
        <v>435</v>
      </c>
      <c r="B431" s="1" t="s">
        <v>2145</v>
      </c>
      <c r="C431" s="28" t="s">
        <v>2239</v>
      </c>
      <c r="D431" s="1" t="s">
        <v>15</v>
      </c>
      <c r="E431" s="1" t="s">
        <v>29</v>
      </c>
      <c r="F431" s="1" t="s">
        <v>2667</v>
      </c>
      <c r="G431" s="241" t="str">
        <f t="shared" si="6"/>
        <v>601512</v>
      </c>
      <c r="H431" s="168">
        <v>60</v>
      </c>
      <c r="I431" s="168">
        <v>15</v>
      </c>
      <c r="J431" s="168">
        <v>12</v>
      </c>
      <c r="K431" s="168">
        <v>40</v>
      </c>
      <c r="L431" s="1"/>
    </row>
    <row r="432" spans="1:12" hidden="1">
      <c r="A432" s="30">
        <v>436</v>
      </c>
      <c r="B432" s="1" t="s">
        <v>2146</v>
      </c>
      <c r="C432" s="28" t="s">
        <v>2239</v>
      </c>
      <c r="D432" s="1" t="s">
        <v>15</v>
      </c>
      <c r="E432" s="1" t="s">
        <v>29</v>
      </c>
      <c r="F432" s="1" t="s">
        <v>2668</v>
      </c>
      <c r="G432" s="241" t="str">
        <f t="shared" si="6"/>
        <v>6099</v>
      </c>
      <c r="H432" s="168">
        <v>60</v>
      </c>
      <c r="I432" s="168">
        <v>9</v>
      </c>
      <c r="J432" s="168">
        <v>9</v>
      </c>
      <c r="K432" s="168">
        <v>80</v>
      </c>
      <c r="L432" s="1"/>
    </row>
    <row r="433" spans="1:12" hidden="1">
      <c r="A433" s="30">
        <v>437</v>
      </c>
      <c r="B433" s="1" t="s">
        <v>2147</v>
      </c>
      <c r="C433" s="28" t="s">
        <v>2239</v>
      </c>
      <c r="D433" s="1" t="s">
        <v>15</v>
      </c>
      <c r="E433" s="1" t="s">
        <v>29</v>
      </c>
      <c r="F433" s="1" t="s">
        <v>2669</v>
      </c>
      <c r="G433" s="241" t="str">
        <f t="shared" si="6"/>
        <v>901010</v>
      </c>
      <c r="H433" s="168">
        <v>90</v>
      </c>
      <c r="I433" s="168">
        <v>10</v>
      </c>
      <c r="J433" s="168">
        <v>10</v>
      </c>
      <c r="K433" s="168">
        <v>40</v>
      </c>
      <c r="L433" s="1"/>
    </row>
    <row r="434" spans="1:12" hidden="1">
      <c r="A434" s="30">
        <v>438</v>
      </c>
      <c r="B434" s="1" t="s">
        <v>2148</v>
      </c>
      <c r="C434" s="28" t="s">
        <v>2239</v>
      </c>
      <c r="D434" s="1" t="s">
        <v>15</v>
      </c>
      <c r="E434" s="1" t="s">
        <v>29</v>
      </c>
      <c r="F434" s="1" t="s">
        <v>2670</v>
      </c>
      <c r="G434" s="241" t="str">
        <f t="shared" si="6"/>
        <v>901512</v>
      </c>
      <c r="H434" s="168">
        <v>90</v>
      </c>
      <c r="I434" s="168">
        <v>15</v>
      </c>
      <c r="J434" s="168">
        <v>12</v>
      </c>
      <c r="K434" s="168">
        <v>30</v>
      </c>
      <c r="L434" s="1"/>
    </row>
    <row r="435" spans="1:12" hidden="1">
      <c r="A435" s="30">
        <v>439</v>
      </c>
      <c r="B435" s="1" t="s">
        <v>2149</v>
      </c>
      <c r="C435" s="28" t="s">
        <v>2239</v>
      </c>
      <c r="D435" s="1" t="s">
        <v>15</v>
      </c>
      <c r="E435" s="1" t="s">
        <v>29</v>
      </c>
      <c r="F435" s="1" t="s">
        <v>2671</v>
      </c>
      <c r="G435" s="241" t="str">
        <f t="shared" si="6"/>
        <v>1002510</v>
      </c>
      <c r="H435" s="168">
        <v>100</v>
      </c>
      <c r="I435" s="168">
        <v>25</v>
      </c>
      <c r="J435" s="168">
        <v>10</v>
      </c>
      <c r="K435" s="168">
        <v>18</v>
      </c>
      <c r="L435" s="1"/>
    </row>
    <row r="436" spans="1:12" hidden="1">
      <c r="A436" s="30">
        <v>440</v>
      </c>
      <c r="B436" s="1" t="s">
        <v>2150</v>
      </c>
      <c r="C436" s="28" t="s">
        <v>2239</v>
      </c>
      <c r="D436" s="1" t="s">
        <v>15</v>
      </c>
      <c r="E436" s="1" t="s">
        <v>29</v>
      </c>
      <c r="F436" s="1" t="s">
        <v>2672</v>
      </c>
      <c r="G436" s="241" t="str">
        <f t="shared" si="6"/>
        <v>1002510</v>
      </c>
      <c r="H436" s="168">
        <v>100</v>
      </c>
      <c r="I436" s="168">
        <v>25</v>
      </c>
      <c r="J436" s="168">
        <v>10</v>
      </c>
      <c r="K436" s="168">
        <v>20</v>
      </c>
      <c r="L436" s="1"/>
    </row>
    <row r="437" spans="1:12" hidden="1">
      <c r="A437" s="30">
        <v>441</v>
      </c>
      <c r="B437" s="1" t="s">
        <v>2151</v>
      </c>
      <c r="C437" s="28" t="s">
        <v>2239</v>
      </c>
      <c r="D437" s="1" t="s">
        <v>15</v>
      </c>
      <c r="E437" s="1" t="s">
        <v>29</v>
      </c>
      <c r="F437" s="1" t="s">
        <v>2673</v>
      </c>
      <c r="G437" s="241" t="str">
        <f t="shared" si="6"/>
        <v>1252510</v>
      </c>
      <c r="H437" s="168">
        <v>125</v>
      </c>
      <c r="I437" s="168">
        <v>25</v>
      </c>
      <c r="J437" s="168">
        <v>10</v>
      </c>
      <c r="K437" s="168">
        <v>16</v>
      </c>
      <c r="L437" s="1"/>
    </row>
    <row r="438" spans="1:12" hidden="1">
      <c r="A438" s="30">
        <v>442</v>
      </c>
      <c r="B438" s="1" t="s">
        <v>2152</v>
      </c>
      <c r="C438" s="28" t="s">
        <v>2239</v>
      </c>
      <c r="D438" s="1" t="s">
        <v>15</v>
      </c>
      <c r="E438" s="1" t="s">
        <v>29</v>
      </c>
      <c r="F438" s="1" t="s">
        <v>2674</v>
      </c>
      <c r="G438" s="241" t="str">
        <f t="shared" si="6"/>
        <v>1502510</v>
      </c>
      <c r="H438" s="168">
        <v>150</v>
      </c>
      <c r="I438" s="168">
        <v>25</v>
      </c>
      <c r="J438" s="168">
        <v>10</v>
      </c>
      <c r="K438" s="168">
        <v>14</v>
      </c>
      <c r="L438" s="1"/>
    </row>
    <row r="439" spans="1:12" hidden="1">
      <c r="A439" s="30">
        <v>443</v>
      </c>
      <c r="B439" s="1" t="s">
        <v>2153</v>
      </c>
      <c r="C439" s="28" t="s">
        <v>2239</v>
      </c>
      <c r="D439" s="1" t="s">
        <v>15</v>
      </c>
      <c r="E439" s="1" t="s">
        <v>29</v>
      </c>
      <c r="F439" s="1" t="s">
        <v>2675</v>
      </c>
      <c r="G439" s="241" t="str">
        <f t="shared" si="6"/>
        <v>1502510</v>
      </c>
      <c r="H439" s="168">
        <v>150</v>
      </c>
      <c r="I439" s="168">
        <v>25</v>
      </c>
      <c r="J439" s="168">
        <v>10</v>
      </c>
      <c r="K439" s="168">
        <v>16</v>
      </c>
      <c r="L439" s="1"/>
    </row>
    <row r="440" spans="1:12" hidden="1">
      <c r="A440" s="30">
        <v>444</v>
      </c>
      <c r="B440" s="1" t="s">
        <v>2154</v>
      </c>
      <c r="C440" s="28" t="s">
        <v>2239</v>
      </c>
      <c r="D440" s="1" t="s">
        <v>15</v>
      </c>
      <c r="E440" s="1" t="s">
        <v>29</v>
      </c>
      <c r="F440" s="1" t="s">
        <v>2676</v>
      </c>
      <c r="G440" s="241" t="str">
        <f t="shared" si="6"/>
        <v>2002510</v>
      </c>
      <c r="H440" s="168">
        <v>200</v>
      </c>
      <c r="I440" s="168">
        <v>25</v>
      </c>
      <c r="J440" s="168">
        <v>10</v>
      </c>
      <c r="K440" s="168">
        <v>10</v>
      </c>
      <c r="L440" s="1"/>
    </row>
    <row r="441" spans="1:12" hidden="1">
      <c r="A441" s="30">
        <v>445</v>
      </c>
      <c r="B441" s="1" t="s">
        <v>2155</v>
      </c>
      <c r="C441" s="28" t="s">
        <v>2239</v>
      </c>
      <c r="D441" s="1" t="s">
        <v>15</v>
      </c>
      <c r="E441" s="1" t="s">
        <v>29</v>
      </c>
      <c r="F441" s="1" t="s">
        <v>2677</v>
      </c>
      <c r="G441" s="241" t="str">
        <f t="shared" si="6"/>
        <v>2502510</v>
      </c>
      <c r="H441" s="168">
        <v>250</v>
      </c>
      <c r="I441" s="168">
        <v>25</v>
      </c>
      <c r="J441" s="168">
        <v>10</v>
      </c>
      <c r="K441" s="168">
        <v>8</v>
      </c>
      <c r="L441" s="1"/>
    </row>
    <row r="442" spans="1:12" hidden="1">
      <c r="A442" s="30">
        <v>446</v>
      </c>
      <c r="B442" s="1" t="s">
        <v>2156</v>
      </c>
      <c r="C442" s="28" t="s">
        <v>2239</v>
      </c>
      <c r="D442" s="1" t="s">
        <v>15</v>
      </c>
      <c r="E442" s="1" t="s">
        <v>29</v>
      </c>
      <c r="F442" s="1" t="s">
        <v>2678</v>
      </c>
      <c r="G442" s="241" t="str">
        <f t="shared" si="6"/>
        <v>502510</v>
      </c>
      <c r="H442" s="168">
        <v>50</v>
      </c>
      <c r="I442" s="168">
        <v>25</v>
      </c>
      <c r="J442" s="168">
        <v>10</v>
      </c>
      <c r="K442" s="168">
        <v>36</v>
      </c>
      <c r="L442" s="1"/>
    </row>
    <row r="443" spans="1:12" hidden="1">
      <c r="A443" s="30">
        <v>447</v>
      </c>
      <c r="B443" s="1" t="s">
        <v>2157</v>
      </c>
      <c r="C443" s="28" t="s">
        <v>2239</v>
      </c>
      <c r="D443" s="1" t="s">
        <v>15</v>
      </c>
      <c r="E443" s="1" t="s">
        <v>29</v>
      </c>
      <c r="F443" s="1" t="s">
        <v>2679</v>
      </c>
      <c r="G443" s="241" t="str">
        <f t="shared" si="6"/>
        <v>752510</v>
      </c>
      <c r="H443" s="168">
        <v>75</v>
      </c>
      <c r="I443" s="168">
        <v>25</v>
      </c>
      <c r="J443" s="168">
        <v>10</v>
      </c>
      <c r="K443" s="168">
        <v>20</v>
      </c>
      <c r="L443" s="1"/>
    </row>
    <row r="444" spans="1:12" hidden="1">
      <c r="A444" s="30">
        <v>448</v>
      </c>
      <c r="B444" s="1" t="s">
        <v>2158</v>
      </c>
      <c r="C444" s="28" t="s">
        <v>2239</v>
      </c>
      <c r="D444" s="1" t="s">
        <v>15</v>
      </c>
      <c r="E444" s="1" t="s">
        <v>29</v>
      </c>
      <c r="F444" s="1" t="s">
        <v>2680</v>
      </c>
      <c r="G444" s="241" t="str">
        <f t="shared" si="6"/>
        <v>901010</v>
      </c>
      <c r="H444" s="168">
        <v>90</v>
      </c>
      <c r="I444" s="168">
        <v>10</v>
      </c>
      <c r="J444" s="168">
        <v>10</v>
      </c>
      <c r="K444" s="168">
        <v>42</v>
      </c>
      <c r="L444" s="1"/>
    </row>
    <row r="445" spans="1:12" hidden="1">
      <c r="A445" s="30">
        <v>449</v>
      </c>
      <c r="B445" s="1" t="s">
        <v>2159</v>
      </c>
      <c r="C445" s="28" t="s">
        <v>2239</v>
      </c>
      <c r="D445" s="1" t="s">
        <v>13</v>
      </c>
      <c r="E445" s="1" t="s">
        <v>10</v>
      </c>
      <c r="F445" s="1" t="s">
        <v>2681</v>
      </c>
      <c r="G445" s="241" t="str">
        <f t="shared" si="6"/>
        <v>30306</v>
      </c>
      <c r="H445" s="168">
        <v>30</v>
      </c>
      <c r="I445" s="168">
        <v>30</v>
      </c>
      <c r="J445" s="168">
        <v>6</v>
      </c>
      <c r="K445" s="168">
        <v>72</v>
      </c>
      <c r="L445" s="1"/>
    </row>
    <row r="446" spans="1:12" hidden="1">
      <c r="A446" s="30">
        <v>450</v>
      </c>
      <c r="B446" s="1" t="s">
        <v>2160</v>
      </c>
      <c r="C446" s="28" t="s">
        <v>2239</v>
      </c>
      <c r="D446" s="1" t="s">
        <v>13</v>
      </c>
      <c r="E446" s="1" t="s">
        <v>10</v>
      </c>
      <c r="F446" s="1" t="s">
        <v>2682</v>
      </c>
      <c r="G446" s="241" t="str">
        <f t="shared" ref="G446:G507" si="7">H446&amp;I446&amp;J446</f>
        <v>60306</v>
      </c>
      <c r="H446" s="168">
        <v>60</v>
      </c>
      <c r="I446" s="168">
        <v>30</v>
      </c>
      <c r="J446" s="168">
        <v>6</v>
      </c>
      <c r="K446" s="168">
        <v>36</v>
      </c>
      <c r="L446" s="1"/>
    </row>
    <row r="447" spans="1:12" hidden="1">
      <c r="A447" s="30">
        <v>451</v>
      </c>
      <c r="B447" s="1" t="s">
        <v>2161</v>
      </c>
      <c r="C447" s="28" t="s">
        <v>2239</v>
      </c>
      <c r="D447" s="1" t="s">
        <v>13</v>
      </c>
      <c r="E447" s="1" t="s">
        <v>10</v>
      </c>
      <c r="F447" s="1" t="s">
        <v>2683</v>
      </c>
      <c r="G447" s="241" t="str">
        <f t="shared" si="7"/>
        <v>60307</v>
      </c>
      <c r="H447" s="168">
        <v>60</v>
      </c>
      <c r="I447" s="168">
        <v>30</v>
      </c>
      <c r="J447" s="168">
        <v>7</v>
      </c>
      <c r="K447" s="168">
        <v>36</v>
      </c>
      <c r="L447" s="1"/>
    </row>
    <row r="448" spans="1:12" hidden="1">
      <c r="A448" s="30">
        <v>452</v>
      </c>
      <c r="B448" s="1" t="s">
        <v>2162</v>
      </c>
      <c r="C448" s="28" t="s">
        <v>2239</v>
      </c>
      <c r="D448" s="1" t="s">
        <v>13</v>
      </c>
      <c r="E448" s="1" t="s">
        <v>10</v>
      </c>
      <c r="F448" s="1" t="s">
        <v>2684</v>
      </c>
      <c r="G448" s="241" t="str">
        <f t="shared" si="7"/>
        <v>60406</v>
      </c>
      <c r="H448" s="168">
        <v>60</v>
      </c>
      <c r="I448" s="168">
        <v>40</v>
      </c>
      <c r="J448" s="168">
        <v>6</v>
      </c>
      <c r="K448" s="168">
        <v>28</v>
      </c>
      <c r="L448" s="1"/>
    </row>
    <row r="449" spans="1:12" hidden="1">
      <c r="A449" s="30">
        <v>453</v>
      </c>
      <c r="B449" s="1" t="s">
        <v>2163</v>
      </c>
      <c r="C449" s="28" t="s">
        <v>2239</v>
      </c>
      <c r="D449" s="1" t="s">
        <v>13</v>
      </c>
      <c r="E449" s="1" t="s">
        <v>10</v>
      </c>
      <c r="F449" s="1" t="s">
        <v>2685</v>
      </c>
      <c r="G449" s="241" t="str">
        <f t="shared" si="7"/>
        <v>90457</v>
      </c>
      <c r="H449" s="168">
        <v>90</v>
      </c>
      <c r="I449" s="168">
        <v>45</v>
      </c>
      <c r="J449" s="168">
        <v>7</v>
      </c>
      <c r="K449" s="168">
        <v>14</v>
      </c>
      <c r="L449" s="1"/>
    </row>
    <row r="450" spans="1:12" hidden="1">
      <c r="A450" s="30">
        <v>454</v>
      </c>
      <c r="B450" s="1" t="s">
        <v>2164</v>
      </c>
      <c r="C450" s="28" t="s">
        <v>2239</v>
      </c>
      <c r="D450" s="1" t="s">
        <v>13</v>
      </c>
      <c r="E450" s="1" t="s">
        <v>10</v>
      </c>
      <c r="F450" s="1" t="s">
        <v>2686</v>
      </c>
      <c r="G450" s="241" t="str">
        <f t="shared" si="7"/>
        <v>90457</v>
      </c>
      <c r="H450" s="168">
        <v>90</v>
      </c>
      <c r="I450" s="168">
        <v>45</v>
      </c>
      <c r="J450" s="168">
        <v>7</v>
      </c>
      <c r="K450" s="168">
        <v>16</v>
      </c>
      <c r="L450" s="1"/>
    </row>
    <row r="451" spans="1:12" hidden="1">
      <c r="A451" s="30">
        <v>455</v>
      </c>
      <c r="B451" s="1" t="s">
        <v>2165</v>
      </c>
      <c r="C451" s="28" t="s">
        <v>2239</v>
      </c>
      <c r="D451" s="1" t="s">
        <v>13</v>
      </c>
      <c r="E451" s="1" t="s">
        <v>10</v>
      </c>
      <c r="F451" s="1" t="s">
        <v>2687</v>
      </c>
      <c r="G451" s="241" t="str">
        <f t="shared" si="7"/>
        <v>90608</v>
      </c>
      <c r="H451" s="168">
        <v>90</v>
      </c>
      <c r="I451" s="168">
        <v>60</v>
      </c>
      <c r="J451" s="168">
        <v>8</v>
      </c>
      <c r="K451" s="168">
        <v>10</v>
      </c>
      <c r="L451" s="1"/>
    </row>
    <row r="452" spans="1:12" hidden="1">
      <c r="A452" s="30">
        <v>456</v>
      </c>
      <c r="B452" s="1" t="s">
        <v>2166</v>
      </c>
      <c r="C452" s="28" t="s">
        <v>2239</v>
      </c>
      <c r="D452" s="1" t="s">
        <v>13</v>
      </c>
      <c r="E452" s="1" t="s">
        <v>10</v>
      </c>
      <c r="F452" s="1" t="s">
        <v>2688</v>
      </c>
      <c r="G452" s="241" t="str">
        <f t="shared" si="7"/>
        <v>30303</v>
      </c>
      <c r="H452" s="168">
        <v>30</v>
      </c>
      <c r="I452" s="168">
        <v>30</v>
      </c>
      <c r="J452" s="168">
        <v>3</v>
      </c>
      <c r="K452" s="168">
        <v>100</v>
      </c>
      <c r="L452" s="1"/>
    </row>
    <row r="453" spans="1:12" hidden="1">
      <c r="A453" s="30">
        <v>457</v>
      </c>
      <c r="B453" s="1" t="s">
        <v>2167</v>
      </c>
      <c r="C453" s="28" t="s">
        <v>2239</v>
      </c>
      <c r="D453" s="1" t="s">
        <v>13</v>
      </c>
      <c r="E453" s="1" t="s">
        <v>39</v>
      </c>
      <c r="F453" s="1" t="s">
        <v>2689</v>
      </c>
      <c r="G453" s="241" t="str">
        <f t="shared" si="7"/>
        <v>50458</v>
      </c>
      <c r="H453" s="168">
        <v>50</v>
      </c>
      <c r="I453" s="168">
        <v>45</v>
      </c>
      <c r="J453" s="168">
        <v>8</v>
      </c>
      <c r="K453" s="168">
        <v>20</v>
      </c>
      <c r="L453" s="1"/>
    </row>
    <row r="454" spans="1:12" hidden="1">
      <c r="A454" s="30">
        <v>458</v>
      </c>
      <c r="B454" s="1" t="s">
        <v>2168</v>
      </c>
      <c r="C454" s="28" t="s">
        <v>2240</v>
      </c>
      <c r="D454" s="1" t="s">
        <v>16</v>
      </c>
      <c r="E454" s="1" t="s">
        <v>1694</v>
      </c>
      <c r="F454" s="1" t="s">
        <v>2690</v>
      </c>
      <c r="G454" s="241" t="str">
        <f t="shared" si="7"/>
        <v>2003315</v>
      </c>
      <c r="H454" s="168">
        <v>200</v>
      </c>
      <c r="I454" s="168">
        <v>33</v>
      </c>
      <c r="J454" s="168">
        <v>15</v>
      </c>
      <c r="K454" s="168">
        <v>4</v>
      </c>
      <c r="L454" s="1"/>
    </row>
    <row r="455" spans="1:12" hidden="1">
      <c r="A455" s="30">
        <v>459</v>
      </c>
      <c r="B455" s="1" t="s">
        <v>2169</v>
      </c>
      <c r="C455" s="28" t="s">
        <v>2240</v>
      </c>
      <c r="D455" s="1" t="s">
        <v>16</v>
      </c>
      <c r="E455" s="1" t="s">
        <v>1694</v>
      </c>
      <c r="F455" s="1" t="s">
        <v>2691</v>
      </c>
      <c r="G455" s="241" t="str">
        <f t="shared" si="7"/>
        <v>1003016</v>
      </c>
      <c r="H455" s="168">
        <v>100</v>
      </c>
      <c r="I455" s="168">
        <v>30</v>
      </c>
      <c r="J455" s="168">
        <v>16</v>
      </c>
      <c r="K455" s="168">
        <v>9</v>
      </c>
      <c r="L455" s="1"/>
    </row>
    <row r="456" spans="1:12" hidden="1">
      <c r="A456" s="30">
        <v>460</v>
      </c>
      <c r="B456" s="243" t="s">
        <v>2956</v>
      </c>
      <c r="C456" s="28" t="s">
        <v>2240</v>
      </c>
      <c r="D456" s="1" t="s">
        <v>16</v>
      </c>
      <c r="E456" s="1" t="s">
        <v>1694</v>
      </c>
      <c r="F456" s="242" t="s">
        <v>2957</v>
      </c>
      <c r="G456" s="241" t="str">
        <f t="shared" si="7"/>
        <v>1003515</v>
      </c>
      <c r="H456" s="168">
        <v>100</v>
      </c>
      <c r="I456" s="168">
        <v>35</v>
      </c>
      <c r="J456" s="168">
        <v>15</v>
      </c>
      <c r="K456" s="168">
        <v>10</v>
      </c>
      <c r="L456" s="1"/>
    </row>
    <row r="457" spans="1:12" hidden="1">
      <c r="A457" s="30">
        <v>461</v>
      </c>
      <c r="B457" s="243" t="s">
        <v>2958</v>
      </c>
      <c r="C457" s="28" t="s">
        <v>2240</v>
      </c>
      <c r="D457" s="1" t="s">
        <v>16</v>
      </c>
      <c r="E457" s="1" t="s">
        <v>1694</v>
      </c>
      <c r="F457" s="1" t="s">
        <v>2693</v>
      </c>
      <c r="G457" s="241" t="str">
        <f t="shared" si="7"/>
        <v>1003515</v>
      </c>
      <c r="H457" s="168">
        <v>100</v>
      </c>
      <c r="I457" s="168">
        <v>35</v>
      </c>
      <c r="J457" s="168">
        <v>15</v>
      </c>
      <c r="K457" s="168">
        <v>8</v>
      </c>
      <c r="L457" s="1"/>
    </row>
    <row r="458" spans="1:12" hidden="1">
      <c r="A458" s="30">
        <v>462</v>
      </c>
      <c r="B458" s="1" t="s">
        <v>2172</v>
      </c>
      <c r="C458" s="28" t="s">
        <v>2240</v>
      </c>
      <c r="D458" s="1" t="s">
        <v>16</v>
      </c>
      <c r="E458" s="1" t="s">
        <v>1694</v>
      </c>
      <c r="F458" s="1" t="s">
        <v>2694</v>
      </c>
      <c r="G458" s="241" t="str">
        <f t="shared" si="7"/>
        <v>1203515</v>
      </c>
      <c r="H458" s="168">
        <v>120</v>
      </c>
      <c r="I458" s="168">
        <v>35</v>
      </c>
      <c r="J458" s="168">
        <v>15</v>
      </c>
      <c r="K458" s="168">
        <v>8</v>
      </c>
      <c r="L458" s="1"/>
    </row>
    <row r="459" spans="1:12" hidden="1">
      <c r="A459" s="30">
        <v>463</v>
      </c>
      <c r="B459" s="1" t="s">
        <v>2173</v>
      </c>
      <c r="C459" s="28" t="s">
        <v>2240</v>
      </c>
      <c r="D459" s="1" t="s">
        <v>16</v>
      </c>
      <c r="E459" s="1" t="s">
        <v>1694</v>
      </c>
      <c r="F459" s="1" t="s">
        <v>2695</v>
      </c>
      <c r="G459" s="241" t="str">
        <f t="shared" si="7"/>
        <v>1253016</v>
      </c>
      <c r="H459" s="168">
        <v>125</v>
      </c>
      <c r="I459" s="168">
        <v>30</v>
      </c>
      <c r="J459" s="168">
        <v>16</v>
      </c>
      <c r="K459" s="168">
        <v>6</v>
      </c>
      <c r="L459" s="1"/>
    </row>
    <row r="460" spans="1:12" hidden="1">
      <c r="A460" s="30">
        <v>464</v>
      </c>
      <c r="B460" s="1" t="s">
        <v>2174</v>
      </c>
      <c r="C460" s="28" t="s">
        <v>2240</v>
      </c>
      <c r="D460" s="1" t="s">
        <v>16</v>
      </c>
      <c r="E460" s="1" t="s">
        <v>1694</v>
      </c>
      <c r="F460" s="1" t="s">
        <v>2696</v>
      </c>
      <c r="G460" s="241" t="str">
        <f t="shared" si="7"/>
        <v>1503016</v>
      </c>
      <c r="H460" s="168">
        <v>150</v>
      </c>
      <c r="I460" s="168">
        <v>30</v>
      </c>
      <c r="J460" s="168">
        <v>16</v>
      </c>
      <c r="K460" s="168">
        <v>6</v>
      </c>
      <c r="L460" s="1"/>
    </row>
    <row r="461" spans="1:12" hidden="1">
      <c r="A461" s="30">
        <v>467</v>
      </c>
      <c r="B461" s="1" t="s">
        <v>2177</v>
      </c>
      <c r="C461" s="28" t="s">
        <v>2240</v>
      </c>
      <c r="D461" s="1" t="s">
        <v>16</v>
      </c>
      <c r="E461" s="1" t="s">
        <v>1694</v>
      </c>
      <c r="F461" s="1" t="s">
        <v>2699</v>
      </c>
      <c r="G461" s="241" t="str">
        <f t="shared" si="7"/>
        <v>603515</v>
      </c>
      <c r="H461" s="168">
        <v>60</v>
      </c>
      <c r="I461" s="168">
        <v>35</v>
      </c>
      <c r="J461" s="168">
        <v>15</v>
      </c>
      <c r="K461" s="168">
        <v>16</v>
      </c>
      <c r="L461" s="1"/>
    </row>
    <row r="462" spans="1:12" hidden="1">
      <c r="A462" s="30">
        <v>468</v>
      </c>
      <c r="B462" s="1" t="s">
        <v>2178</v>
      </c>
      <c r="C462" s="28" t="s">
        <v>2240</v>
      </c>
      <c r="D462" s="1" t="s">
        <v>16</v>
      </c>
      <c r="E462" s="1" t="s">
        <v>1694</v>
      </c>
      <c r="F462" s="1" t="s">
        <v>2700</v>
      </c>
      <c r="G462" s="241" t="str">
        <f t="shared" si="7"/>
        <v>803515</v>
      </c>
      <c r="H462" s="168">
        <v>80</v>
      </c>
      <c r="I462" s="168">
        <v>35</v>
      </c>
      <c r="J462" s="168">
        <v>15</v>
      </c>
      <c r="K462" s="168">
        <v>12</v>
      </c>
      <c r="L462" s="1"/>
    </row>
    <row r="463" spans="1:12" hidden="1">
      <c r="A463" s="30">
        <v>469</v>
      </c>
      <c r="B463" s="1" t="s">
        <v>2179</v>
      </c>
      <c r="C463" s="28" t="s">
        <v>2240</v>
      </c>
      <c r="D463" s="1" t="s">
        <v>14</v>
      </c>
      <c r="E463" s="1" t="s">
        <v>1710</v>
      </c>
      <c r="F463" s="1" t="s">
        <v>2701</v>
      </c>
      <c r="G463" s="241" t="str">
        <f t="shared" si="7"/>
        <v>60206</v>
      </c>
      <c r="H463" s="168">
        <v>60</v>
      </c>
      <c r="I463" s="168">
        <v>20</v>
      </c>
      <c r="J463" s="168">
        <v>6</v>
      </c>
      <c r="K463" s="168">
        <v>48</v>
      </c>
      <c r="L463" s="1"/>
    </row>
    <row r="464" spans="1:12" hidden="1">
      <c r="A464" s="30">
        <v>470</v>
      </c>
      <c r="B464" s="1" t="s">
        <v>2180</v>
      </c>
      <c r="C464" s="28" t="s">
        <v>2240</v>
      </c>
      <c r="D464" s="1" t="s">
        <v>13</v>
      </c>
      <c r="E464" s="1" t="s">
        <v>1696</v>
      </c>
      <c r="F464" s="1" t="s">
        <v>2702</v>
      </c>
      <c r="G464" s="241" t="str">
        <f t="shared" si="7"/>
        <v>1999</v>
      </c>
      <c r="H464" s="168">
        <v>19</v>
      </c>
      <c r="I464" s="168">
        <v>9</v>
      </c>
      <c r="J464" s="168">
        <v>9</v>
      </c>
      <c r="K464" s="168">
        <v>250</v>
      </c>
      <c r="L464" s="1"/>
    </row>
    <row r="465" spans="1:12" hidden="1">
      <c r="A465" s="30">
        <v>471</v>
      </c>
      <c r="B465" s="1" t="s">
        <v>2181</v>
      </c>
      <c r="C465" s="28" t="s">
        <v>2240</v>
      </c>
      <c r="D465" s="1" t="s">
        <v>13</v>
      </c>
      <c r="E465" s="1" t="s">
        <v>1696</v>
      </c>
      <c r="F465" s="1" t="s">
        <v>2703</v>
      </c>
      <c r="G465" s="241" t="str">
        <f t="shared" si="7"/>
        <v>995</v>
      </c>
      <c r="H465" s="168">
        <v>9</v>
      </c>
      <c r="I465" s="168">
        <v>9</v>
      </c>
      <c r="J465" s="168">
        <v>5</v>
      </c>
      <c r="K465" s="168">
        <v>1000</v>
      </c>
      <c r="L465" s="1"/>
    </row>
    <row r="466" spans="1:12" hidden="1">
      <c r="A466" s="30">
        <v>472</v>
      </c>
      <c r="B466" s="1" t="s">
        <v>2182</v>
      </c>
      <c r="C466" s="28" t="s">
        <v>2240</v>
      </c>
      <c r="D466" s="1" t="s">
        <v>13</v>
      </c>
      <c r="E466" s="1" t="s">
        <v>1696</v>
      </c>
      <c r="F466" s="1" t="s">
        <v>2704</v>
      </c>
      <c r="G466" s="241" t="str">
        <f t="shared" si="7"/>
        <v>999</v>
      </c>
      <c r="H466" s="168">
        <v>9</v>
      </c>
      <c r="I466" s="168">
        <v>9</v>
      </c>
      <c r="J466" s="168">
        <v>9</v>
      </c>
      <c r="K466" s="168">
        <v>500</v>
      </c>
      <c r="L466" s="1"/>
    </row>
    <row r="467" spans="1:12" hidden="1">
      <c r="A467" s="30">
        <v>473</v>
      </c>
      <c r="B467" s="1" t="s">
        <v>2183</v>
      </c>
      <c r="C467" s="28" t="s">
        <v>2240</v>
      </c>
      <c r="D467" s="1" t="s">
        <v>13</v>
      </c>
      <c r="E467" s="1" t="s">
        <v>1696</v>
      </c>
      <c r="F467" s="1" t="s">
        <v>2705</v>
      </c>
      <c r="G467" s="241" t="str">
        <f t="shared" si="7"/>
        <v>1999</v>
      </c>
      <c r="H467" s="168">
        <v>19</v>
      </c>
      <c r="I467" s="168">
        <v>9</v>
      </c>
      <c r="J467" s="168">
        <v>9</v>
      </c>
      <c r="K467" s="168">
        <v>250</v>
      </c>
      <c r="L467" s="1"/>
    </row>
    <row r="468" spans="1:12" hidden="1">
      <c r="A468" s="30">
        <v>474</v>
      </c>
      <c r="B468" s="1" t="s">
        <v>2184</v>
      </c>
      <c r="C468" s="28" t="s">
        <v>2240</v>
      </c>
      <c r="D468" s="1" t="s">
        <v>13</v>
      </c>
      <c r="E468" s="1" t="s">
        <v>1696</v>
      </c>
      <c r="F468" s="1" t="s">
        <v>2706</v>
      </c>
      <c r="G468" s="241" t="str">
        <f t="shared" si="7"/>
        <v>2999</v>
      </c>
      <c r="H468" s="168">
        <v>29</v>
      </c>
      <c r="I468" s="168">
        <v>9</v>
      </c>
      <c r="J468" s="168">
        <v>9</v>
      </c>
      <c r="K468" s="168">
        <v>180</v>
      </c>
      <c r="L468" s="1"/>
    </row>
    <row r="469" spans="1:12" hidden="1">
      <c r="A469" s="30">
        <v>475</v>
      </c>
      <c r="B469" s="1" t="s">
        <v>2185</v>
      </c>
      <c r="C469" s="28" t="s">
        <v>2240</v>
      </c>
      <c r="D469" s="1" t="s">
        <v>13</v>
      </c>
      <c r="E469" s="1" t="s">
        <v>1696</v>
      </c>
      <c r="F469" s="1" t="s">
        <v>2707</v>
      </c>
      <c r="G469" s="241" t="str">
        <f t="shared" si="7"/>
        <v>10103</v>
      </c>
      <c r="H469" s="168">
        <v>10</v>
      </c>
      <c r="I469" s="168">
        <v>10</v>
      </c>
      <c r="J469" s="168">
        <v>3</v>
      </c>
      <c r="K469" s="168">
        <v>1980</v>
      </c>
      <c r="L469" s="1"/>
    </row>
    <row r="470" spans="1:12" hidden="1">
      <c r="A470" s="30">
        <v>476</v>
      </c>
      <c r="B470" s="1" t="s">
        <v>2186</v>
      </c>
      <c r="C470" s="28" t="s">
        <v>2240</v>
      </c>
      <c r="D470" s="1" t="s">
        <v>13</v>
      </c>
      <c r="E470" s="1" t="s">
        <v>1696</v>
      </c>
      <c r="F470" s="1" t="s">
        <v>2708</v>
      </c>
      <c r="G470" s="241" t="str">
        <f t="shared" si="7"/>
        <v>10106</v>
      </c>
      <c r="H470" s="168">
        <v>10</v>
      </c>
      <c r="I470" s="168">
        <v>10</v>
      </c>
      <c r="J470" s="168">
        <v>6</v>
      </c>
      <c r="K470" s="168">
        <v>900</v>
      </c>
      <c r="L470" s="1"/>
    </row>
    <row r="471" spans="1:12" hidden="1">
      <c r="A471" s="30">
        <v>477</v>
      </c>
      <c r="B471" s="1" t="s">
        <v>2187</v>
      </c>
      <c r="C471" s="28" t="s">
        <v>2240</v>
      </c>
      <c r="D471" s="1" t="s">
        <v>13</v>
      </c>
      <c r="E471" s="1" t="s">
        <v>10</v>
      </c>
      <c r="F471" s="1" t="s">
        <v>2709</v>
      </c>
      <c r="G471" s="241" t="str">
        <f t="shared" si="7"/>
        <v>60306</v>
      </c>
      <c r="H471" s="168">
        <v>60</v>
      </c>
      <c r="I471" s="168">
        <v>30</v>
      </c>
      <c r="J471" s="168">
        <v>6</v>
      </c>
      <c r="K471" s="168">
        <v>36</v>
      </c>
      <c r="L471" s="1"/>
    </row>
    <row r="472" spans="1:12" hidden="1">
      <c r="A472" s="30">
        <v>478</v>
      </c>
      <c r="B472" s="1" t="s">
        <v>2188</v>
      </c>
      <c r="C472" s="28" t="s">
        <v>2240</v>
      </c>
      <c r="D472" s="1" t="s">
        <v>15</v>
      </c>
      <c r="E472" s="1" t="s">
        <v>29</v>
      </c>
      <c r="F472" s="1" t="s">
        <v>2710</v>
      </c>
      <c r="G472" s="241" t="str">
        <f t="shared" si="7"/>
        <v>60406</v>
      </c>
      <c r="H472" s="168">
        <v>60</v>
      </c>
      <c r="I472" s="168">
        <v>40</v>
      </c>
      <c r="J472" s="168">
        <v>6</v>
      </c>
      <c r="K472" s="168">
        <v>28</v>
      </c>
      <c r="L472" s="1"/>
    </row>
    <row r="473" spans="1:12" hidden="1">
      <c r="A473" s="30">
        <v>479</v>
      </c>
      <c r="B473" s="1" t="s">
        <v>2189</v>
      </c>
      <c r="C473" s="28" t="s">
        <v>2240</v>
      </c>
      <c r="D473" s="1" t="s">
        <v>15</v>
      </c>
      <c r="E473" s="1" t="s">
        <v>29</v>
      </c>
      <c r="F473" s="1" t="s">
        <v>2711</v>
      </c>
      <c r="G473" s="241" t="str">
        <f t="shared" si="7"/>
        <v>100208</v>
      </c>
      <c r="H473" s="168">
        <v>100</v>
      </c>
      <c r="I473" s="168">
        <v>20</v>
      </c>
      <c r="J473" s="168">
        <v>8</v>
      </c>
      <c r="K473" s="168">
        <v>24</v>
      </c>
      <c r="L473" s="1"/>
    </row>
    <row r="474" spans="1:12" hidden="1">
      <c r="A474" s="30">
        <v>480</v>
      </c>
      <c r="B474" s="1" t="s">
        <v>2190</v>
      </c>
      <c r="C474" s="28" t="s">
        <v>2240</v>
      </c>
      <c r="D474" s="1" t="s">
        <v>15</v>
      </c>
      <c r="E474" s="1" t="s">
        <v>29</v>
      </c>
      <c r="F474" s="1" t="s">
        <v>2712</v>
      </c>
      <c r="G474" s="241" t="str">
        <f t="shared" si="7"/>
        <v>1002510</v>
      </c>
      <c r="H474" s="168">
        <v>100</v>
      </c>
      <c r="I474" s="168">
        <v>25</v>
      </c>
      <c r="J474" s="168">
        <v>10</v>
      </c>
      <c r="K474" s="168">
        <v>20</v>
      </c>
      <c r="L474" s="1"/>
    </row>
    <row r="475" spans="1:12" hidden="1">
      <c r="A475" s="30">
        <v>481</v>
      </c>
      <c r="B475" s="1" t="s">
        <v>2191</v>
      </c>
      <c r="C475" s="28" t="s">
        <v>2240</v>
      </c>
      <c r="D475" s="1" t="s">
        <v>15</v>
      </c>
      <c r="E475" s="1" t="s">
        <v>29</v>
      </c>
      <c r="F475" s="1" t="s">
        <v>2713</v>
      </c>
      <c r="G475" s="241" t="str">
        <f t="shared" si="7"/>
        <v>100256</v>
      </c>
      <c r="H475" s="168">
        <v>100</v>
      </c>
      <c r="I475" s="168">
        <v>25</v>
      </c>
      <c r="J475" s="168">
        <v>6</v>
      </c>
      <c r="K475" s="168">
        <v>32</v>
      </c>
      <c r="L475" s="1"/>
    </row>
    <row r="476" spans="1:12" hidden="1">
      <c r="A476" s="30">
        <v>482</v>
      </c>
      <c r="B476" s="1" t="s">
        <v>2192</v>
      </c>
      <c r="C476" s="28" t="s">
        <v>2240</v>
      </c>
      <c r="D476" s="1" t="s">
        <v>15</v>
      </c>
      <c r="E476" s="1" t="s">
        <v>29</v>
      </c>
      <c r="F476" s="1" t="s">
        <v>2714</v>
      </c>
      <c r="G476" s="241" t="str">
        <f t="shared" si="7"/>
        <v>100258</v>
      </c>
      <c r="H476" s="168">
        <v>100</v>
      </c>
      <c r="I476" s="168">
        <v>25</v>
      </c>
      <c r="J476" s="168">
        <v>8</v>
      </c>
      <c r="K476" s="168">
        <v>20</v>
      </c>
      <c r="L476" s="1"/>
    </row>
    <row r="477" spans="1:12" hidden="1">
      <c r="A477" s="30">
        <v>483</v>
      </c>
      <c r="B477" s="1" t="s">
        <v>2193</v>
      </c>
      <c r="C477" s="28" t="s">
        <v>2240</v>
      </c>
      <c r="D477" s="1" t="s">
        <v>15</v>
      </c>
      <c r="E477" s="1" t="s">
        <v>29</v>
      </c>
      <c r="F477" s="1" t="s">
        <v>2715</v>
      </c>
      <c r="G477" s="241" t="str">
        <f t="shared" si="7"/>
        <v>100258</v>
      </c>
      <c r="H477" s="168">
        <v>100</v>
      </c>
      <c r="I477" s="168">
        <v>25</v>
      </c>
      <c r="J477" s="168">
        <v>8</v>
      </c>
      <c r="K477" s="168">
        <v>24</v>
      </c>
      <c r="L477" s="1"/>
    </row>
    <row r="478" spans="1:12" hidden="1">
      <c r="A478" s="30">
        <v>484</v>
      </c>
      <c r="B478" s="1" t="s">
        <v>2194</v>
      </c>
      <c r="C478" s="28" t="s">
        <v>2240</v>
      </c>
      <c r="D478" s="1" t="s">
        <v>15</v>
      </c>
      <c r="E478" s="1" t="s">
        <v>29</v>
      </c>
      <c r="F478" s="1" t="s">
        <v>2716</v>
      </c>
      <c r="G478" s="241" t="str">
        <f t="shared" si="7"/>
        <v>1202510</v>
      </c>
      <c r="H478" s="168">
        <v>120</v>
      </c>
      <c r="I478" s="168">
        <v>25</v>
      </c>
      <c r="J478" s="168">
        <v>10</v>
      </c>
      <c r="K478" s="168">
        <v>14</v>
      </c>
      <c r="L478" s="1"/>
    </row>
    <row r="479" spans="1:12" hidden="1">
      <c r="A479" s="30">
        <v>485</v>
      </c>
      <c r="B479" s="1" t="s">
        <v>2195</v>
      </c>
      <c r="C479" s="28" t="s">
        <v>2240</v>
      </c>
      <c r="D479" s="1" t="s">
        <v>15</v>
      </c>
      <c r="E479" s="1" t="s">
        <v>29</v>
      </c>
      <c r="F479" s="1" t="s">
        <v>2717</v>
      </c>
      <c r="G479" s="241" t="str">
        <f t="shared" si="7"/>
        <v>1202510</v>
      </c>
      <c r="H479" s="168">
        <v>120</v>
      </c>
      <c r="I479" s="168">
        <v>25</v>
      </c>
      <c r="J479" s="168">
        <v>10</v>
      </c>
      <c r="K479" s="168">
        <v>18</v>
      </c>
      <c r="L479" s="1"/>
    </row>
    <row r="480" spans="1:12" hidden="1">
      <c r="A480" s="30">
        <v>486</v>
      </c>
      <c r="B480" s="1" t="s">
        <v>2196</v>
      </c>
      <c r="C480" s="28" t="s">
        <v>2240</v>
      </c>
      <c r="D480" s="1" t="s">
        <v>15</v>
      </c>
      <c r="E480" s="1" t="s">
        <v>29</v>
      </c>
      <c r="F480" s="1" t="s">
        <v>2718</v>
      </c>
      <c r="G480" s="241" t="str">
        <f t="shared" si="7"/>
        <v>125258</v>
      </c>
      <c r="H480" s="168">
        <v>125</v>
      </c>
      <c r="I480" s="168">
        <v>25</v>
      </c>
      <c r="J480" s="168">
        <v>8</v>
      </c>
      <c r="K480" s="168">
        <v>18</v>
      </c>
      <c r="L480" s="1"/>
    </row>
    <row r="481" spans="1:12" hidden="1">
      <c r="A481" s="30">
        <v>487</v>
      </c>
      <c r="B481" s="1" t="s">
        <v>2197</v>
      </c>
      <c r="C481" s="28" t="s">
        <v>2240</v>
      </c>
      <c r="D481" s="1" t="s">
        <v>15</v>
      </c>
      <c r="E481" s="1" t="s">
        <v>29</v>
      </c>
      <c r="F481" s="1" t="s">
        <v>2719</v>
      </c>
      <c r="G481" s="241" t="str">
        <f t="shared" si="7"/>
        <v>1502510</v>
      </c>
      <c r="H481" s="168">
        <v>150</v>
      </c>
      <c r="I481" s="168">
        <v>25</v>
      </c>
      <c r="J481" s="168">
        <v>10</v>
      </c>
      <c r="K481" s="168">
        <v>14</v>
      </c>
      <c r="L481" s="1"/>
    </row>
    <row r="482" spans="1:12" hidden="1">
      <c r="A482" s="30">
        <v>488</v>
      </c>
      <c r="B482" s="1" t="s">
        <v>2198</v>
      </c>
      <c r="C482" s="28" t="s">
        <v>2240</v>
      </c>
      <c r="D482" s="1" t="s">
        <v>15</v>
      </c>
      <c r="E482" s="1" t="s">
        <v>29</v>
      </c>
      <c r="F482" s="1" t="s">
        <v>2720</v>
      </c>
      <c r="G482" s="241" t="str">
        <f t="shared" si="7"/>
        <v>150258</v>
      </c>
      <c r="H482" s="168">
        <v>150</v>
      </c>
      <c r="I482" s="168">
        <v>25</v>
      </c>
      <c r="J482" s="168">
        <v>8</v>
      </c>
      <c r="K482" s="168">
        <v>16</v>
      </c>
      <c r="L482" s="1"/>
    </row>
    <row r="483" spans="1:12" hidden="1">
      <c r="A483" s="30">
        <v>489</v>
      </c>
      <c r="B483" s="1" t="s">
        <v>2199</v>
      </c>
      <c r="C483" s="28" t="s">
        <v>2240</v>
      </c>
      <c r="D483" s="1" t="s">
        <v>15</v>
      </c>
      <c r="E483" s="1" t="s">
        <v>29</v>
      </c>
      <c r="F483" s="1" t="s">
        <v>2721</v>
      </c>
      <c r="G483" s="241" t="str">
        <f t="shared" si="7"/>
        <v>1802510</v>
      </c>
      <c r="H483" s="168">
        <v>180</v>
      </c>
      <c r="I483" s="168">
        <v>25</v>
      </c>
      <c r="J483" s="168">
        <v>10</v>
      </c>
      <c r="K483" s="168">
        <v>12</v>
      </c>
      <c r="L483" s="1"/>
    </row>
    <row r="484" spans="1:12" hidden="1">
      <c r="A484" s="30">
        <v>490</v>
      </c>
      <c r="B484" s="1" t="s">
        <v>2200</v>
      </c>
      <c r="C484" s="28" t="s">
        <v>2240</v>
      </c>
      <c r="D484" s="1" t="s">
        <v>15</v>
      </c>
      <c r="E484" s="1" t="s">
        <v>29</v>
      </c>
      <c r="F484" s="1" t="s">
        <v>2722</v>
      </c>
      <c r="G484" s="241" t="str">
        <f t="shared" si="7"/>
        <v>2002510</v>
      </c>
      <c r="H484" s="168">
        <v>200</v>
      </c>
      <c r="I484" s="168">
        <v>25</v>
      </c>
      <c r="J484" s="168">
        <v>10</v>
      </c>
      <c r="K484" s="168">
        <v>10</v>
      </c>
      <c r="L484" s="1"/>
    </row>
    <row r="485" spans="1:12" hidden="1">
      <c r="A485" s="30">
        <v>491</v>
      </c>
      <c r="B485" s="1" t="s">
        <v>2201</v>
      </c>
      <c r="C485" s="28" t="s">
        <v>2240</v>
      </c>
      <c r="D485" s="1" t="s">
        <v>15</v>
      </c>
      <c r="E485" s="1" t="s">
        <v>29</v>
      </c>
      <c r="F485" s="1" t="s">
        <v>2723</v>
      </c>
      <c r="G485" s="241" t="str">
        <f t="shared" si="7"/>
        <v>2502510</v>
      </c>
      <c r="H485" s="168">
        <v>250</v>
      </c>
      <c r="I485" s="168">
        <v>25</v>
      </c>
      <c r="J485" s="168">
        <v>10</v>
      </c>
      <c r="K485" s="168">
        <v>8</v>
      </c>
      <c r="L485" s="1"/>
    </row>
    <row r="486" spans="1:12" hidden="1">
      <c r="A486" s="30">
        <v>492</v>
      </c>
      <c r="B486" s="1" t="s">
        <v>2202</v>
      </c>
      <c r="C486" s="28" t="s">
        <v>2240</v>
      </c>
      <c r="D486" s="1" t="s">
        <v>15</v>
      </c>
      <c r="E486" s="1" t="s">
        <v>29</v>
      </c>
      <c r="F486" s="1" t="s">
        <v>2724</v>
      </c>
      <c r="G486" s="241" t="str">
        <f t="shared" si="7"/>
        <v>402510</v>
      </c>
      <c r="H486" s="168">
        <v>40</v>
      </c>
      <c r="I486" s="168">
        <v>25</v>
      </c>
      <c r="J486" s="168">
        <v>10</v>
      </c>
      <c r="K486" s="168">
        <v>40</v>
      </c>
      <c r="L486" s="1"/>
    </row>
    <row r="487" spans="1:12" hidden="1">
      <c r="A487" s="30">
        <v>493</v>
      </c>
      <c r="B487" s="1" t="s">
        <v>2203</v>
      </c>
      <c r="C487" s="28" t="s">
        <v>2240</v>
      </c>
      <c r="D487" s="1" t="s">
        <v>15</v>
      </c>
      <c r="E487" s="1" t="s">
        <v>29</v>
      </c>
      <c r="F487" s="1" t="s">
        <v>2725</v>
      </c>
      <c r="G487" s="241" t="str">
        <f t="shared" si="7"/>
        <v>50258</v>
      </c>
      <c r="H487" s="168">
        <v>50</v>
      </c>
      <c r="I487" s="168">
        <v>25</v>
      </c>
      <c r="J487" s="168">
        <v>8</v>
      </c>
      <c r="K487" s="168">
        <v>48</v>
      </c>
      <c r="L487" s="1"/>
    </row>
    <row r="488" spans="1:12" hidden="1">
      <c r="A488" s="30">
        <v>494</v>
      </c>
      <c r="B488" s="1" t="s">
        <v>2204</v>
      </c>
      <c r="C488" s="28" t="s">
        <v>2240</v>
      </c>
      <c r="D488" s="1" t="s">
        <v>15</v>
      </c>
      <c r="E488" s="1" t="s">
        <v>29</v>
      </c>
      <c r="F488" s="1" t="s">
        <v>2726</v>
      </c>
      <c r="G488" s="241" t="str">
        <f t="shared" si="7"/>
        <v>602510</v>
      </c>
      <c r="H488" s="168">
        <v>60</v>
      </c>
      <c r="I488" s="168">
        <v>25</v>
      </c>
      <c r="J488" s="168">
        <v>10</v>
      </c>
      <c r="K488" s="168">
        <v>28</v>
      </c>
      <c r="L488" s="1"/>
    </row>
    <row r="489" spans="1:12" hidden="1">
      <c r="A489" s="30">
        <v>495</v>
      </c>
      <c r="B489" s="1" t="s">
        <v>2205</v>
      </c>
      <c r="C489" s="28" t="s">
        <v>2240</v>
      </c>
      <c r="D489" s="1" t="s">
        <v>15</v>
      </c>
      <c r="E489" s="1" t="s">
        <v>29</v>
      </c>
      <c r="F489" s="1" t="s">
        <v>2727</v>
      </c>
      <c r="G489" s="241" t="str">
        <f t="shared" si="7"/>
        <v>602510</v>
      </c>
      <c r="H489" s="168">
        <v>60</v>
      </c>
      <c r="I489" s="168">
        <v>25</v>
      </c>
      <c r="J489" s="168">
        <v>10</v>
      </c>
      <c r="K489" s="168">
        <v>36</v>
      </c>
      <c r="L489" s="1"/>
    </row>
    <row r="490" spans="1:12" hidden="1">
      <c r="A490" s="30">
        <v>496</v>
      </c>
      <c r="B490" s="1" t="s">
        <v>2206</v>
      </c>
      <c r="C490" s="28" t="s">
        <v>2240</v>
      </c>
      <c r="D490" s="1" t="s">
        <v>15</v>
      </c>
      <c r="E490" s="1" t="s">
        <v>29</v>
      </c>
      <c r="F490" s="1" t="s">
        <v>2728</v>
      </c>
      <c r="G490" s="241" t="str">
        <f t="shared" si="7"/>
        <v>75258</v>
      </c>
      <c r="H490" s="168">
        <v>75</v>
      </c>
      <c r="I490" s="168">
        <v>25</v>
      </c>
      <c r="J490" s="168">
        <v>8</v>
      </c>
      <c r="K490" s="168">
        <v>28</v>
      </c>
      <c r="L490" s="1"/>
    </row>
    <row r="491" spans="1:12" hidden="1">
      <c r="A491" s="30">
        <v>497</v>
      </c>
      <c r="B491" s="1" t="s">
        <v>2207</v>
      </c>
      <c r="C491" s="28" t="s">
        <v>2240</v>
      </c>
      <c r="D491" s="1" t="s">
        <v>15</v>
      </c>
      <c r="E491" s="1" t="s">
        <v>29</v>
      </c>
      <c r="F491" s="1" t="s">
        <v>2729</v>
      </c>
      <c r="G491" s="241" t="str">
        <f t="shared" si="7"/>
        <v>802510</v>
      </c>
      <c r="H491" s="168">
        <v>80</v>
      </c>
      <c r="I491" s="168">
        <v>25</v>
      </c>
      <c r="J491" s="168">
        <v>10</v>
      </c>
      <c r="K491" s="168">
        <v>24</v>
      </c>
      <c r="L491" s="1"/>
    </row>
    <row r="492" spans="1:12" hidden="1">
      <c r="A492" s="30">
        <v>498</v>
      </c>
      <c r="B492" s="1" t="s">
        <v>2208</v>
      </c>
      <c r="C492" s="28" t="s">
        <v>2240</v>
      </c>
      <c r="D492" s="1" t="s">
        <v>13</v>
      </c>
      <c r="E492" s="1" t="s">
        <v>10</v>
      </c>
      <c r="F492" s="1" t="s">
        <v>2730</v>
      </c>
      <c r="G492" s="241" t="str">
        <f t="shared" si="7"/>
        <v>1001003</v>
      </c>
      <c r="H492" s="168">
        <v>100</v>
      </c>
      <c r="I492" s="168">
        <v>100</v>
      </c>
      <c r="J492" s="168">
        <v>3</v>
      </c>
      <c r="K492" s="168">
        <v>14</v>
      </c>
      <c r="L492" s="1"/>
    </row>
    <row r="493" spans="1:12" hidden="1">
      <c r="A493" s="30">
        <v>499</v>
      </c>
      <c r="B493" s="1" t="s">
        <v>2209</v>
      </c>
      <c r="C493" s="28" t="s">
        <v>2240</v>
      </c>
      <c r="D493" s="1" t="s">
        <v>13</v>
      </c>
      <c r="E493" s="1" t="s">
        <v>10</v>
      </c>
      <c r="F493" s="1" t="s">
        <v>2731</v>
      </c>
      <c r="G493" s="241" t="str">
        <f t="shared" si="7"/>
        <v>100353</v>
      </c>
      <c r="H493" s="168">
        <v>100</v>
      </c>
      <c r="I493" s="168">
        <v>35</v>
      </c>
      <c r="J493" s="168">
        <v>3</v>
      </c>
      <c r="K493" s="168">
        <v>30</v>
      </c>
      <c r="L493" s="1"/>
    </row>
    <row r="494" spans="1:12" hidden="1">
      <c r="A494" s="30">
        <v>500</v>
      </c>
      <c r="B494" s="1" t="s">
        <v>2210</v>
      </c>
      <c r="C494" s="28" t="s">
        <v>2240</v>
      </c>
      <c r="D494" s="1" t="s">
        <v>13</v>
      </c>
      <c r="E494" s="1" t="s">
        <v>10</v>
      </c>
      <c r="F494" s="1" t="s">
        <v>2732</v>
      </c>
      <c r="G494" s="241" t="str">
        <f t="shared" si="7"/>
        <v>100503</v>
      </c>
      <c r="H494" s="168">
        <v>100</v>
      </c>
      <c r="I494" s="168">
        <v>50</v>
      </c>
      <c r="J494" s="168">
        <v>3</v>
      </c>
      <c r="K494" s="168">
        <v>24</v>
      </c>
      <c r="L494" s="1"/>
    </row>
    <row r="495" spans="1:12" hidden="1">
      <c r="A495" s="30">
        <v>501</v>
      </c>
      <c r="B495" s="1" t="s">
        <v>2211</v>
      </c>
      <c r="C495" s="28" t="s">
        <v>2240</v>
      </c>
      <c r="D495" s="1" t="s">
        <v>13</v>
      </c>
      <c r="E495" s="1" t="s">
        <v>10</v>
      </c>
      <c r="F495" s="1" t="s">
        <v>2733</v>
      </c>
      <c r="G495" s="241" t="str">
        <f t="shared" si="7"/>
        <v>40403</v>
      </c>
      <c r="H495" s="168">
        <v>40</v>
      </c>
      <c r="I495" s="168">
        <v>40</v>
      </c>
      <c r="J495" s="168">
        <v>3</v>
      </c>
      <c r="K495" s="168">
        <v>100</v>
      </c>
      <c r="L495" s="1"/>
    </row>
    <row r="496" spans="1:12" hidden="1">
      <c r="A496" s="30">
        <v>502</v>
      </c>
      <c r="B496" s="1" t="s">
        <v>2212</v>
      </c>
      <c r="C496" s="28" t="s">
        <v>2240</v>
      </c>
      <c r="D496" s="1" t="s">
        <v>18</v>
      </c>
      <c r="E496" s="1" t="s">
        <v>10</v>
      </c>
      <c r="F496" s="1" t="s">
        <v>2734</v>
      </c>
      <c r="G496" s="241" t="str">
        <f t="shared" si="7"/>
        <v>50502</v>
      </c>
      <c r="H496" s="168">
        <v>50</v>
      </c>
      <c r="I496" s="168">
        <v>50</v>
      </c>
      <c r="J496" s="168">
        <v>2</v>
      </c>
      <c r="K496" s="168">
        <v>50</v>
      </c>
      <c r="L496" s="1"/>
    </row>
    <row r="497" spans="1:12" hidden="1">
      <c r="A497" s="30">
        <v>503</v>
      </c>
      <c r="B497" s="1" t="s">
        <v>2213</v>
      </c>
      <c r="C497" s="28" t="s">
        <v>2240</v>
      </c>
      <c r="D497" s="1" t="s">
        <v>13</v>
      </c>
      <c r="E497" s="1" t="s">
        <v>10</v>
      </c>
      <c r="F497" s="1" t="s">
        <v>2735</v>
      </c>
      <c r="G497" s="241" t="str">
        <f t="shared" si="7"/>
        <v>50503</v>
      </c>
      <c r="H497" s="168">
        <v>50</v>
      </c>
      <c r="I497" s="168">
        <v>50</v>
      </c>
      <c r="J497" s="168">
        <v>3</v>
      </c>
      <c r="K497" s="168">
        <v>34</v>
      </c>
      <c r="L497" s="1"/>
    </row>
    <row r="498" spans="1:12" hidden="1">
      <c r="A498" s="30">
        <v>504</v>
      </c>
      <c r="B498" s="1" t="s">
        <v>2214</v>
      </c>
      <c r="C498" s="28" t="s">
        <v>2240</v>
      </c>
      <c r="D498" s="1" t="s">
        <v>18</v>
      </c>
      <c r="E498" s="1" t="s">
        <v>10</v>
      </c>
      <c r="F498" s="1" t="s">
        <v>2736</v>
      </c>
      <c r="G498" s="241" t="str">
        <f t="shared" si="7"/>
        <v>60402</v>
      </c>
      <c r="H498" s="168">
        <v>60</v>
      </c>
      <c r="I498" s="168">
        <v>40</v>
      </c>
      <c r="J498" s="168">
        <v>2</v>
      </c>
      <c r="K498" s="168">
        <v>50</v>
      </c>
      <c r="L498" s="1"/>
    </row>
    <row r="499" spans="1:12" hidden="1">
      <c r="A499" s="30">
        <v>505</v>
      </c>
      <c r="B499" s="1" t="s">
        <v>2215</v>
      </c>
      <c r="C499" s="28" t="s">
        <v>2240</v>
      </c>
      <c r="D499" s="1" t="s">
        <v>13</v>
      </c>
      <c r="E499" s="1" t="s">
        <v>10</v>
      </c>
      <c r="F499" s="1" t="s">
        <v>2737</v>
      </c>
      <c r="G499" s="241" t="str">
        <f t="shared" si="7"/>
        <v>60403</v>
      </c>
      <c r="H499" s="168">
        <v>60</v>
      </c>
      <c r="I499" s="168">
        <v>40</v>
      </c>
      <c r="J499" s="168">
        <v>3</v>
      </c>
      <c r="K499" s="168">
        <v>34</v>
      </c>
      <c r="L499" s="1"/>
    </row>
    <row r="500" spans="1:12" hidden="1">
      <c r="A500" s="30">
        <v>506</v>
      </c>
      <c r="B500" s="1" t="s">
        <v>2216</v>
      </c>
      <c r="C500" s="28" t="s">
        <v>2240</v>
      </c>
      <c r="D500" s="1" t="s">
        <v>13</v>
      </c>
      <c r="E500" s="1" t="s">
        <v>10</v>
      </c>
      <c r="F500" s="1" t="s">
        <v>2738</v>
      </c>
      <c r="G500" s="241" t="str">
        <f t="shared" si="7"/>
        <v>60403</v>
      </c>
      <c r="H500" s="168">
        <v>60</v>
      </c>
      <c r="I500" s="168">
        <v>40</v>
      </c>
      <c r="J500" s="168">
        <v>3</v>
      </c>
      <c r="K500" s="168">
        <v>68</v>
      </c>
      <c r="L500" s="1"/>
    </row>
    <row r="501" spans="1:12" hidden="1">
      <c r="A501" s="30">
        <v>507</v>
      </c>
      <c r="B501" s="1" t="s">
        <v>2217</v>
      </c>
      <c r="C501" s="28" t="s">
        <v>2240</v>
      </c>
      <c r="D501" s="1" t="s">
        <v>13</v>
      </c>
      <c r="E501" s="1" t="s">
        <v>10</v>
      </c>
      <c r="F501" s="1" t="s">
        <v>2739</v>
      </c>
      <c r="G501" s="241" t="str">
        <f t="shared" si="7"/>
        <v>60603</v>
      </c>
      <c r="H501" s="168">
        <v>60</v>
      </c>
      <c r="I501" s="168">
        <v>60</v>
      </c>
      <c r="J501" s="168">
        <v>3</v>
      </c>
      <c r="K501" s="168">
        <v>34</v>
      </c>
      <c r="L501" s="1"/>
    </row>
    <row r="502" spans="1:12" hidden="1">
      <c r="A502" s="30">
        <v>508</v>
      </c>
      <c r="B502" s="1" t="s">
        <v>2218</v>
      </c>
      <c r="C502" s="28" t="s">
        <v>2240</v>
      </c>
      <c r="D502" s="1" t="s">
        <v>13</v>
      </c>
      <c r="E502" s="1" t="s">
        <v>10</v>
      </c>
      <c r="F502" s="1" t="s">
        <v>2740</v>
      </c>
      <c r="G502" s="241" t="str">
        <f t="shared" si="7"/>
        <v>70503</v>
      </c>
      <c r="H502" s="168">
        <v>70</v>
      </c>
      <c r="I502" s="168">
        <v>50</v>
      </c>
      <c r="J502" s="168">
        <v>3</v>
      </c>
      <c r="K502" s="168">
        <v>34</v>
      </c>
      <c r="L502" s="1"/>
    </row>
    <row r="503" spans="1:12" hidden="1">
      <c r="A503" s="30">
        <v>509</v>
      </c>
      <c r="B503" s="1" t="s">
        <v>2219</v>
      </c>
      <c r="C503" s="28" t="s">
        <v>2240</v>
      </c>
      <c r="D503" s="1" t="s">
        <v>13</v>
      </c>
      <c r="E503" s="1" t="s">
        <v>10</v>
      </c>
      <c r="F503" s="1" t="s">
        <v>2741</v>
      </c>
      <c r="G503" s="241" t="str">
        <f t="shared" si="7"/>
        <v>80403</v>
      </c>
      <c r="H503" s="168">
        <v>80</v>
      </c>
      <c r="I503" s="168">
        <v>40</v>
      </c>
      <c r="J503" s="168">
        <v>3</v>
      </c>
      <c r="K503" s="168">
        <v>52</v>
      </c>
      <c r="L503" s="1"/>
    </row>
    <row r="504" spans="1:12" hidden="1">
      <c r="A504" s="30">
        <v>510</v>
      </c>
      <c r="B504" s="1" t="s">
        <v>2220</v>
      </c>
      <c r="C504" s="28" t="s">
        <v>2240</v>
      </c>
      <c r="D504" s="1" t="s">
        <v>13</v>
      </c>
      <c r="E504" s="1" t="s">
        <v>10</v>
      </c>
      <c r="F504" s="1" t="s">
        <v>2742</v>
      </c>
      <c r="G504" s="241" t="str">
        <f t="shared" si="7"/>
        <v>90603</v>
      </c>
      <c r="H504" s="168">
        <v>90</v>
      </c>
      <c r="I504" s="168">
        <v>60</v>
      </c>
      <c r="J504" s="168">
        <v>3</v>
      </c>
      <c r="K504" s="168">
        <v>25</v>
      </c>
      <c r="L504" s="1"/>
    </row>
    <row r="505" spans="1:12" hidden="1">
      <c r="A505" s="30">
        <v>511</v>
      </c>
      <c r="B505" s="1" t="s">
        <v>2221</v>
      </c>
      <c r="C505" s="28" t="s">
        <v>2240</v>
      </c>
      <c r="D505" s="1" t="s">
        <v>14</v>
      </c>
      <c r="E505" s="1" t="s">
        <v>1699</v>
      </c>
      <c r="F505" s="1" t="s">
        <v>2743</v>
      </c>
      <c r="G505" s="241" t="str">
        <f t="shared" si="7"/>
        <v>100254</v>
      </c>
      <c r="H505" s="168">
        <v>100</v>
      </c>
      <c r="I505" s="168">
        <v>25</v>
      </c>
      <c r="J505" s="168">
        <v>4</v>
      </c>
      <c r="K505" s="168">
        <v>25</v>
      </c>
      <c r="L505" s="1"/>
    </row>
    <row r="506" spans="1:12" hidden="1">
      <c r="A506" s="30">
        <v>512</v>
      </c>
      <c r="B506" s="1" t="s">
        <v>2222</v>
      </c>
      <c r="C506" s="28" t="s">
        <v>2240</v>
      </c>
      <c r="D506" s="1" t="s">
        <v>14</v>
      </c>
      <c r="E506" s="1" t="s">
        <v>1699</v>
      </c>
      <c r="F506" s="1" t="s">
        <v>2744</v>
      </c>
      <c r="G506" s="241" t="str">
        <f t="shared" si="7"/>
        <v>100304</v>
      </c>
      <c r="H506" s="168">
        <v>100</v>
      </c>
      <c r="I506" s="168">
        <v>30</v>
      </c>
      <c r="J506" s="168">
        <v>4</v>
      </c>
      <c r="K506" s="168">
        <v>25</v>
      </c>
      <c r="L506" s="1"/>
    </row>
    <row r="507" spans="1:12" hidden="1">
      <c r="A507" s="30">
        <v>513</v>
      </c>
      <c r="B507" s="1" t="s">
        <v>2223</v>
      </c>
      <c r="C507" s="28" t="s">
        <v>2240</v>
      </c>
      <c r="D507" s="1" t="s">
        <v>14</v>
      </c>
      <c r="E507" s="1" t="s">
        <v>1699</v>
      </c>
      <c r="F507" s="1" t="s">
        <v>2745</v>
      </c>
      <c r="G507" s="241" t="str">
        <f t="shared" si="7"/>
        <v>100354</v>
      </c>
      <c r="H507" s="168">
        <v>100</v>
      </c>
      <c r="I507" s="168">
        <v>35</v>
      </c>
      <c r="J507" s="168">
        <v>4</v>
      </c>
      <c r="K507" s="168">
        <v>25</v>
      </c>
      <c r="L507" s="1"/>
    </row>
    <row r="508" spans="1:12" hidden="1">
      <c r="A508" s="30">
        <v>514</v>
      </c>
      <c r="B508" s="1" t="s">
        <v>2224</v>
      </c>
      <c r="C508" s="28" t="s">
        <v>2240</v>
      </c>
      <c r="D508" s="1" t="s">
        <v>14</v>
      </c>
      <c r="E508" s="1" t="s">
        <v>1699</v>
      </c>
      <c r="F508" s="1" t="s">
        <v>2746</v>
      </c>
      <c r="G508" s="241" t="str">
        <f t="shared" ref="G508:G519" si="8">H508&amp;I508&amp;J508</f>
        <v>100404</v>
      </c>
      <c r="H508" s="168">
        <v>100</v>
      </c>
      <c r="I508" s="168">
        <v>40</v>
      </c>
      <c r="J508" s="168">
        <v>4</v>
      </c>
      <c r="K508" s="168">
        <v>25</v>
      </c>
      <c r="L508" s="1"/>
    </row>
    <row r="509" spans="1:12" hidden="1">
      <c r="A509" s="30">
        <v>515</v>
      </c>
      <c r="B509" s="1" t="s">
        <v>2225</v>
      </c>
      <c r="C509" s="28" t="s">
        <v>2240</v>
      </c>
      <c r="D509" s="1" t="s">
        <v>14</v>
      </c>
      <c r="E509" s="1" t="s">
        <v>1699</v>
      </c>
      <c r="F509" s="1" t="s">
        <v>2747</v>
      </c>
      <c r="G509" s="241" t="str">
        <f t="shared" si="8"/>
        <v>555510</v>
      </c>
      <c r="H509" s="168">
        <v>55</v>
      </c>
      <c r="I509" s="168">
        <v>55</v>
      </c>
      <c r="J509" s="168">
        <v>10</v>
      </c>
      <c r="K509" s="168">
        <v>6</v>
      </c>
      <c r="L509" s="1"/>
    </row>
    <row r="510" spans="1:12" hidden="1">
      <c r="A510" s="30">
        <v>516</v>
      </c>
      <c r="B510" s="1" t="s">
        <v>2226</v>
      </c>
      <c r="C510" s="28" t="s">
        <v>2240</v>
      </c>
      <c r="D510" s="1" t="s">
        <v>14</v>
      </c>
      <c r="E510" s="1" t="s">
        <v>1699</v>
      </c>
      <c r="F510" s="1" t="s">
        <v>2748</v>
      </c>
      <c r="G510" s="241" t="str">
        <f t="shared" si="8"/>
        <v>55558</v>
      </c>
      <c r="H510" s="168">
        <v>55</v>
      </c>
      <c r="I510" s="168">
        <v>55</v>
      </c>
      <c r="J510" s="168">
        <v>8</v>
      </c>
      <c r="K510" s="168">
        <v>4</v>
      </c>
      <c r="L510" s="1"/>
    </row>
    <row r="511" spans="1:12" hidden="1">
      <c r="A511" s="30">
        <v>517</v>
      </c>
      <c r="B511" s="1" t="s">
        <v>2227</v>
      </c>
      <c r="C511" s="28" t="s">
        <v>2240</v>
      </c>
      <c r="D511" s="1" t="s">
        <v>14</v>
      </c>
      <c r="E511" s="1" t="s">
        <v>1699</v>
      </c>
      <c r="F511" s="1" t="s">
        <v>2749</v>
      </c>
      <c r="G511" s="241" t="str">
        <f t="shared" si="8"/>
        <v>60303</v>
      </c>
      <c r="H511" s="168">
        <v>60</v>
      </c>
      <c r="I511" s="168">
        <v>30</v>
      </c>
      <c r="J511" s="168">
        <v>3</v>
      </c>
      <c r="K511" s="168">
        <v>34</v>
      </c>
      <c r="L511" s="1"/>
    </row>
    <row r="512" spans="1:12" hidden="1">
      <c r="A512" s="30">
        <v>518</v>
      </c>
      <c r="B512" s="1" t="s">
        <v>2228</v>
      </c>
      <c r="C512" s="28" t="s">
        <v>2240</v>
      </c>
      <c r="D512" s="1" t="s">
        <v>14</v>
      </c>
      <c r="E512" s="1" t="s">
        <v>1699</v>
      </c>
      <c r="F512" s="1" t="s">
        <v>2750</v>
      </c>
      <c r="G512" s="241" t="str">
        <f t="shared" si="8"/>
        <v>60353</v>
      </c>
      <c r="H512" s="168">
        <v>60</v>
      </c>
      <c r="I512" s="168">
        <v>35</v>
      </c>
      <c r="J512" s="168">
        <v>3</v>
      </c>
      <c r="K512" s="168">
        <v>34</v>
      </c>
      <c r="L512" s="1"/>
    </row>
    <row r="513" spans="1:12" hidden="1">
      <c r="A513" s="30">
        <v>519</v>
      </c>
      <c r="B513" s="1" t="s">
        <v>2229</v>
      </c>
      <c r="C513" s="28" t="s">
        <v>2240</v>
      </c>
      <c r="D513" s="1" t="s">
        <v>16</v>
      </c>
      <c r="E513" s="1" t="s">
        <v>1700</v>
      </c>
      <c r="F513" s="1" t="s">
        <v>2751</v>
      </c>
      <c r="G513" s="241" t="str">
        <f t="shared" si="8"/>
        <v>120353</v>
      </c>
      <c r="H513" s="168">
        <v>120</v>
      </c>
      <c r="I513" s="168">
        <v>35</v>
      </c>
      <c r="J513" s="168">
        <v>3</v>
      </c>
      <c r="K513" s="168">
        <v>25</v>
      </c>
      <c r="L513" s="1"/>
    </row>
    <row r="514" spans="1:12" hidden="1">
      <c r="A514" s="30">
        <v>520</v>
      </c>
      <c r="B514" s="1" t="s">
        <v>2230</v>
      </c>
      <c r="C514" s="28" t="s">
        <v>2240</v>
      </c>
      <c r="D514" s="1" t="s">
        <v>16</v>
      </c>
      <c r="E514" s="1" t="s">
        <v>1700</v>
      </c>
      <c r="F514" s="1" t="s">
        <v>2752</v>
      </c>
      <c r="G514" s="241" t="str">
        <f t="shared" si="8"/>
        <v>12014.52</v>
      </c>
      <c r="H514" s="168">
        <v>120</v>
      </c>
      <c r="I514" s="168">
        <v>14.5</v>
      </c>
      <c r="J514" s="168">
        <v>2</v>
      </c>
      <c r="K514" s="168">
        <v>50</v>
      </c>
      <c r="L514" s="1"/>
    </row>
    <row r="515" spans="1:12" hidden="1">
      <c r="A515" s="30">
        <v>521</v>
      </c>
      <c r="B515" s="1" t="s">
        <v>2231</v>
      </c>
      <c r="C515" s="28" t="s">
        <v>2240</v>
      </c>
      <c r="D515" s="1" t="s">
        <v>16</v>
      </c>
      <c r="E515" s="1" t="s">
        <v>1700</v>
      </c>
      <c r="F515" s="1" t="s">
        <v>2753</v>
      </c>
      <c r="G515" s="241" t="str">
        <f t="shared" si="8"/>
        <v>12014.53</v>
      </c>
      <c r="H515" s="168">
        <v>120</v>
      </c>
      <c r="I515" s="168">
        <v>14.5</v>
      </c>
      <c r="J515" s="168">
        <v>3</v>
      </c>
      <c r="K515" s="168">
        <v>50</v>
      </c>
      <c r="L515" s="1"/>
    </row>
    <row r="516" spans="1:12" hidden="1">
      <c r="A516" s="30">
        <v>522</v>
      </c>
      <c r="B516" s="93" t="s">
        <v>2803</v>
      </c>
      <c r="C516" s="94" t="s">
        <v>2234</v>
      </c>
      <c r="E516" s="93" t="s">
        <v>29</v>
      </c>
      <c r="F516" s="93" t="s">
        <v>2806</v>
      </c>
      <c r="G516" s="241" t="str">
        <f t="shared" si="8"/>
        <v>901010</v>
      </c>
      <c r="H516" s="169">
        <v>90</v>
      </c>
      <c r="I516" s="169">
        <v>10</v>
      </c>
      <c r="J516" s="169">
        <v>10</v>
      </c>
      <c r="K516" s="169">
        <v>40</v>
      </c>
    </row>
    <row r="517" spans="1:12" hidden="1">
      <c r="A517" s="30">
        <v>523</v>
      </c>
      <c r="B517" s="93" t="s">
        <v>2804</v>
      </c>
      <c r="C517" s="94" t="s">
        <v>2234</v>
      </c>
      <c r="E517" s="93" t="s">
        <v>2805</v>
      </c>
      <c r="F517" s="93" t="s">
        <v>2807</v>
      </c>
      <c r="G517" s="241" t="str">
        <f t="shared" si="8"/>
        <v>40306</v>
      </c>
      <c r="H517" s="169">
        <v>40</v>
      </c>
      <c r="I517" s="169">
        <v>30</v>
      </c>
      <c r="J517" s="169">
        <v>6</v>
      </c>
      <c r="K517" s="169">
        <v>64</v>
      </c>
    </row>
    <row r="518" spans="1:12" hidden="1">
      <c r="A518" s="30">
        <v>524</v>
      </c>
      <c r="B518" s="93" t="s">
        <v>2824</v>
      </c>
      <c r="C518" s="94" t="s">
        <v>2234</v>
      </c>
      <c r="E518" s="93" t="s">
        <v>10</v>
      </c>
      <c r="F518" s="93" t="s">
        <v>2825</v>
      </c>
      <c r="G518" s="241" t="str">
        <f t="shared" si="8"/>
        <v>30206</v>
      </c>
      <c r="H518" s="169">
        <v>30</v>
      </c>
      <c r="I518" s="169">
        <v>20</v>
      </c>
      <c r="J518" s="169">
        <v>6</v>
      </c>
      <c r="K518" s="169">
        <v>120</v>
      </c>
    </row>
    <row r="519" spans="1:12" hidden="1">
      <c r="A519" s="30">
        <v>525</v>
      </c>
      <c r="B519" s="167" t="s">
        <v>2848</v>
      </c>
      <c r="C519" s="167" t="s">
        <v>2234</v>
      </c>
      <c r="E519" s="167" t="s">
        <v>30</v>
      </c>
      <c r="F519" s="167" t="s">
        <v>2849</v>
      </c>
      <c r="G519" s="241" t="str">
        <f t="shared" si="8"/>
        <v>220683</v>
      </c>
      <c r="H519" s="169">
        <v>220</v>
      </c>
      <c r="I519" s="169">
        <v>68</v>
      </c>
      <c r="J519" s="169">
        <v>3</v>
      </c>
      <c r="K519" s="169">
        <v>11</v>
      </c>
    </row>
    <row r="520" spans="1:12" hidden="1">
      <c r="A520" s="30">
        <v>526</v>
      </c>
      <c r="B520" s="167" t="s">
        <v>2850</v>
      </c>
      <c r="C520" s="167" t="s">
        <v>2233</v>
      </c>
      <c r="E520" s="178" t="s">
        <v>30</v>
      </c>
      <c r="F520" s="178" t="s">
        <v>2851</v>
      </c>
      <c r="G520" s="178"/>
      <c r="H520" s="169">
        <v>220</v>
      </c>
      <c r="I520" s="169">
        <v>68</v>
      </c>
      <c r="J520" s="169">
        <v>2</v>
      </c>
      <c r="K520" s="169">
        <v>20</v>
      </c>
    </row>
  </sheetData>
  <autoFilter ref="A2:L520">
    <filterColumn colId="6">
      <filters>
        <filter val="1001212"/>
      </filters>
    </filterColumn>
  </autoFilter>
  <conditionalFormatting sqref="B1:B1048576">
    <cfRule type="duplicateValues" dxfId="4" priority="2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sqref="A1:C18"/>
    </sheetView>
  </sheetViews>
  <sheetFormatPr defaultColWidth="9" defaultRowHeight="12.75"/>
  <cols>
    <col min="1" max="1" width="6.7109375" style="10" bestFit="1" customWidth="1"/>
    <col min="2" max="2" width="39.7109375" style="10" customWidth="1"/>
    <col min="3" max="3" width="24.42578125" style="10" customWidth="1"/>
    <col min="4" max="251" width="9" style="10"/>
    <col min="252" max="252" width="24" style="10" customWidth="1"/>
    <col min="253" max="253" width="31.42578125" style="10" customWidth="1"/>
    <col min="254" max="254" width="38.28515625" style="10" customWidth="1"/>
    <col min="255" max="255" width="21.28515625" style="10" customWidth="1"/>
    <col min="256" max="257" width="21.42578125" style="10" customWidth="1"/>
    <col min="258" max="258" width="25.7109375" style="10" customWidth="1"/>
    <col min="259" max="507" width="9" style="10"/>
    <col min="508" max="508" width="24" style="10" customWidth="1"/>
    <col min="509" max="509" width="31.42578125" style="10" customWidth="1"/>
    <col min="510" max="510" width="38.28515625" style="10" customWidth="1"/>
    <col min="511" max="511" width="21.28515625" style="10" customWidth="1"/>
    <col min="512" max="513" width="21.42578125" style="10" customWidth="1"/>
    <col min="514" max="514" width="25.7109375" style="10" customWidth="1"/>
    <col min="515" max="763" width="9" style="10"/>
    <col min="764" max="764" width="24" style="10" customWidth="1"/>
    <col min="765" max="765" width="31.42578125" style="10" customWidth="1"/>
    <col min="766" max="766" width="38.28515625" style="10" customWidth="1"/>
    <col min="767" max="767" width="21.28515625" style="10" customWidth="1"/>
    <col min="768" max="769" width="21.42578125" style="10" customWidth="1"/>
    <col min="770" max="770" width="25.7109375" style="10" customWidth="1"/>
    <col min="771" max="1019" width="9" style="10"/>
    <col min="1020" max="1020" width="24" style="10" customWidth="1"/>
    <col min="1021" max="1021" width="31.42578125" style="10" customWidth="1"/>
    <col min="1022" max="1022" width="38.28515625" style="10" customWidth="1"/>
    <col min="1023" max="1023" width="21.28515625" style="10" customWidth="1"/>
    <col min="1024" max="1025" width="21.42578125" style="10" customWidth="1"/>
    <col min="1026" max="1026" width="25.7109375" style="10" customWidth="1"/>
    <col min="1027" max="1275" width="9" style="10"/>
    <col min="1276" max="1276" width="24" style="10" customWidth="1"/>
    <col min="1277" max="1277" width="31.42578125" style="10" customWidth="1"/>
    <col min="1278" max="1278" width="38.28515625" style="10" customWidth="1"/>
    <col min="1279" max="1279" width="21.28515625" style="10" customWidth="1"/>
    <col min="1280" max="1281" width="21.42578125" style="10" customWidth="1"/>
    <col min="1282" max="1282" width="25.7109375" style="10" customWidth="1"/>
    <col min="1283" max="1531" width="9" style="10"/>
    <col min="1532" max="1532" width="24" style="10" customWidth="1"/>
    <col min="1533" max="1533" width="31.42578125" style="10" customWidth="1"/>
    <col min="1534" max="1534" width="38.28515625" style="10" customWidth="1"/>
    <col min="1535" max="1535" width="21.28515625" style="10" customWidth="1"/>
    <col min="1536" max="1537" width="21.42578125" style="10" customWidth="1"/>
    <col min="1538" max="1538" width="25.7109375" style="10" customWidth="1"/>
    <col min="1539" max="1787" width="9" style="10"/>
    <col min="1788" max="1788" width="24" style="10" customWidth="1"/>
    <col min="1789" max="1789" width="31.42578125" style="10" customWidth="1"/>
    <col min="1790" max="1790" width="38.28515625" style="10" customWidth="1"/>
    <col min="1791" max="1791" width="21.28515625" style="10" customWidth="1"/>
    <col min="1792" max="1793" width="21.42578125" style="10" customWidth="1"/>
    <col min="1794" max="1794" width="25.7109375" style="10" customWidth="1"/>
    <col min="1795" max="2043" width="9" style="10"/>
    <col min="2044" max="2044" width="24" style="10" customWidth="1"/>
    <col min="2045" max="2045" width="31.42578125" style="10" customWidth="1"/>
    <col min="2046" max="2046" width="38.28515625" style="10" customWidth="1"/>
    <col min="2047" max="2047" width="21.28515625" style="10" customWidth="1"/>
    <col min="2048" max="2049" width="21.42578125" style="10" customWidth="1"/>
    <col min="2050" max="2050" width="25.7109375" style="10" customWidth="1"/>
    <col min="2051" max="2299" width="9" style="10"/>
    <col min="2300" max="2300" width="24" style="10" customWidth="1"/>
    <col min="2301" max="2301" width="31.42578125" style="10" customWidth="1"/>
    <col min="2302" max="2302" width="38.28515625" style="10" customWidth="1"/>
    <col min="2303" max="2303" width="21.28515625" style="10" customWidth="1"/>
    <col min="2304" max="2305" width="21.42578125" style="10" customWidth="1"/>
    <col min="2306" max="2306" width="25.7109375" style="10" customWidth="1"/>
    <col min="2307" max="2555" width="9" style="10"/>
    <col min="2556" max="2556" width="24" style="10" customWidth="1"/>
    <col min="2557" max="2557" width="31.42578125" style="10" customWidth="1"/>
    <col min="2558" max="2558" width="38.28515625" style="10" customWidth="1"/>
    <col min="2559" max="2559" width="21.28515625" style="10" customWidth="1"/>
    <col min="2560" max="2561" width="21.42578125" style="10" customWidth="1"/>
    <col min="2562" max="2562" width="25.7109375" style="10" customWidth="1"/>
    <col min="2563" max="2811" width="9" style="10"/>
    <col min="2812" max="2812" width="24" style="10" customWidth="1"/>
    <col min="2813" max="2813" width="31.42578125" style="10" customWidth="1"/>
    <col min="2814" max="2814" width="38.28515625" style="10" customWidth="1"/>
    <col min="2815" max="2815" width="21.28515625" style="10" customWidth="1"/>
    <col min="2816" max="2817" width="21.42578125" style="10" customWidth="1"/>
    <col min="2818" max="2818" width="25.7109375" style="10" customWidth="1"/>
    <col min="2819" max="3067" width="9" style="10"/>
    <col min="3068" max="3068" width="24" style="10" customWidth="1"/>
    <col min="3069" max="3069" width="31.42578125" style="10" customWidth="1"/>
    <col min="3070" max="3070" width="38.28515625" style="10" customWidth="1"/>
    <col min="3071" max="3071" width="21.28515625" style="10" customWidth="1"/>
    <col min="3072" max="3073" width="21.42578125" style="10" customWidth="1"/>
    <col min="3074" max="3074" width="25.7109375" style="10" customWidth="1"/>
    <col min="3075" max="3323" width="9" style="10"/>
    <col min="3324" max="3324" width="24" style="10" customWidth="1"/>
    <col min="3325" max="3325" width="31.42578125" style="10" customWidth="1"/>
    <col min="3326" max="3326" width="38.28515625" style="10" customWidth="1"/>
    <col min="3327" max="3327" width="21.28515625" style="10" customWidth="1"/>
    <col min="3328" max="3329" width="21.42578125" style="10" customWidth="1"/>
    <col min="3330" max="3330" width="25.7109375" style="10" customWidth="1"/>
    <col min="3331" max="3579" width="9" style="10"/>
    <col min="3580" max="3580" width="24" style="10" customWidth="1"/>
    <col min="3581" max="3581" width="31.42578125" style="10" customWidth="1"/>
    <col min="3582" max="3582" width="38.28515625" style="10" customWidth="1"/>
    <col min="3583" max="3583" width="21.28515625" style="10" customWidth="1"/>
    <col min="3584" max="3585" width="21.42578125" style="10" customWidth="1"/>
    <col min="3586" max="3586" width="25.7109375" style="10" customWidth="1"/>
    <col min="3587" max="3835" width="9" style="10"/>
    <col min="3836" max="3836" width="24" style="10" customWidth="1"/>
    <col min="3837" max="3837" width="31.42578125" style="10" customWidth="1"/>
    <col min="3838" max="3838" width="38.28515625" style="10" customWidth="1"/>
    <col min="3839" max="3839" width="21.28515625" style="10" customWidth="1"/>
    <col min="3840" max="3841" width="21.42578125" style="10" customWidth="1"/>
    <col min="3842" max="3842" width="25.7109375" style="10" customWidth="1"/>
    <col min="3843" max="4091" width="9" style="10"/>
    <col min="4092" max="4092" width="24" style="10" customWidth="1"/>
    <col min="4093" max="4093" width="31.42578125" style="10" customWidth="1"/>
    <col min="4094" max="4094" width="38.28515625" style="10" customWidth="1"/>
    <col min="4095" max="4095" width="21.28515625" style="10" customWidth="1"/>
    <col min="4096" max="4097" width="21.42578125" style="10" customWidth="1"/>
    <col min="4098" max="4098" width="25.7109375" style="10" customWidth="1"/>
    <col min="4099" max="4347" width="9" style="10"/>
    <col min="4348" max="4348" width="24" style="10" customWidth="1"/>
    <col min="4349" max="4349" width="31.42578125" style="10" customWidth="1"/>
    <col min="4350" max="4350" width="38.28515625" style="10" customWidth="1"/>
    <col min="4351" max="4351" width="21.28515625" style="10" customWidth="1"/>
    <col min="4352" max="4353" width="21.42578125" style="10" customWidth="1"/>
    <col min="4354" max="4354" width="25.7109375" style="10" customWidth="1"/>
    <col min="4355" max="4603" width="9" style="10"/>
    <col min="4604" max="4604" width="24" style="10" customWidth="1"/>
    <col min="4605" max="4605" width="31.42578125" style="10" customWidth="1"/>
    <col min="4606" max="4606" width="38.28515625" style="10" customWidth="1"/>
    <col min="4607" max="4607" width="21.28515625" style="10" customWidth="1"/>
    <col min="4608" max="4609" width="21.42578125" style="10" customWidth="1"/>
    <col min="4610" max="4610" width="25.7109375" style="10" customWidth="1"/>
    <col min="4611" max="4859" width="9" style="10"/>
    <col min="4860" max="4860" width="24" style="10" customWidth="1"/>
    <col min="4861" max="4861" width="31.42578125" style="10" customWidth="1"/>
    <col min="4862" max="4862" width="38.28515625" style="10" customWidth="1"/>
    <col min="4863" max="4863" width="21.28515625" style="10" customWidth="1"/>
    <col min="4864" max="4865" width="21.42578125" style="10" customWidth="1"/>
    <col min="4866" max="4866" width="25.7109375" style="10" customWidth="1"/>
    <col min="4867" max="5115" width="9" style="10"/>
    <col min="5116" max="5116" width="24" style="10" customWidth="1"/>
    <col min="5117" max="5117" width="31.42578125" style="10" customWidth="1"/>
    <col min="5118" max="5118" width="38.28515625" style="10" customWidth="1"/>
    <col min="5119" max="5119" width="21.28515625" style="10" customWidth="1"/>
    <col min="5120" max="5121" width="21.42578125" style="10" customWidth="1"/>
    <col min="5122" max="5122" width="25.7109375" style="10" customWidth="1"/>
    <col min="5123" max="5371" width="9" style="10"/>
    <col min="5372" max="5372" width="24" style="10" customWidth="1"/>
    <col min="5373" max="5373" width="31.42578125" style="10" customWidth="1"/>
    <col min="5374" max="5374" width="38.28515625" style="10" customWidth="1"/>
    <col min="5375" max="5375" width="21.28515625" style="10" customWidth="1"/>
    <col min="5376" max="5377" width="21.42578125" style="10" customWidth="1"/>
    <col min="5378" max="5378" width="25.7109375" style="10" customWidth="1"/>
    <col min="5379" max="5627" width="9" style="10"/>
    <col min="5628" max="5628" width="24" style="10" customWidth="1"/>
    <col min="5629" max="5629" width="31.42578125" style="10" customWidth="1"/>
    <col min="5630" max="5630" width="38.28515625" style="10" customWidth="1"/>
    <col min="5631" max="5631" width="21.28515625" style="10" customWidth="1"/>
    <col min="5632" max="5633" width="21.42578125" style="10" customWidth="1"/>
    <col min="5634" max="5634" width="25.7109375" style="10" customWidth="1"/>
    <col min="5635" max="5883" width="9" style="10"/>
    <col min="5884" max="5884" width="24" style="10" customWidth="1"/>
    <col min="5885" max="5885" width="31.42578125" style="10" customWidth="1"/>
    <col min="5886" max="5886" width="38.28515625" style="10" customWidth="1"/>
    <col min="5887" max="5887" width="21.28515625" style="10" customWidth="1"/>
    <col min="5888" max="5889" width="21.42578125" style="10" customWidth="1"/>
    <col min="5890" max="5890" width="25.7109375" style="10" customWidth="1"/>
    <col min="5891" max="6139" width="9" style="10"/>
    <col min="6140" max="6140" width="24" style="10" customWidth="1"/>
    <col min="6141" max="6141" width="31.42578125" style="10" customWidth="1"/>
    <col min="6142" max="6142" width="38.28515625" style="10" customWidth="1"/>
    <col min="6143" max="6143" width="21.28515625" style="10" customWidth="1"/>
    <col min="6144" max="6145" width="21.42578125" style="10" customWidth="1"/>
    <col min="6146" max="6146" width="25.7109375" style="10" customWidth="1"/>
    <col min="6147" max="6395" width="9" style="10"/>
    <col min="6396" max="6396" width="24" style="10" customWidth="1"/>
    <col min="6397" max="6397" width="31.42578125" style="10" customWidth="1"/>
    <col min="6398" max="6398" width="38.28515625" style="10" customWidth="1"/>
    <col min="6399" max="6399" width="21.28515625" style="10" customWidth="1"/>
    <col min="6400" max="6401" width="21.42578125" style="10" customWidth="1"/>
    <col min="6402" max="6402" width="25.7109375" style="10" customWidth="1"/>
    <col min="6403" max="6651" width="9" style="10"/>
    <col min="6652" max="6652" width="24" style="10" customWidth="1"/>
    <col min="6653" max="6653" width="31.42578125" style="10" customWidth="1"/>
    <col min="6654" max="6654" width="38.28515625" style="10" customWidth="1"/>
    <col min="6655" max="6655" width="21.28515625" style="10" customWidth="1"/>
    <col min="6656" max="6657" width="21.42578125" style="10" customWidth="1"/>
    <col min="6658" max="6658" width="25.7109375" style="10" customWidth="1"/>
    <col min="6659" max="6907" width="9" style="10"/>
    <col min="6908" max="6908" width="24" style="10" customWidth="1"/>
    <col min="6909" max="6909" width="31.42578125" style="10" customWidth="1"/>
    <col min="6910" max="6910" width="38.28515625" style="10" customWidth="1"/>
    <col min="6911" max="6911" width="21.28515625" style="10" customWidth="1"/>
    <col min="6912" max="6913" width="21.42578125" style="10" customWidth="1"/>
    <col min="6914" max="6914" width="25.7109375" style="10" customWidth="1"/>
    <col min="6915" max="7163" width="9" style="10"/>
    <col min="7164" max="7164" width="24" style="10" customWidth="1"/>
    <col min="7165" max="7165" width="31.42578125" style="10" customWidth="1"/>
    <col min="7166" max="7166" width="38.28515625" style="10" customWidth="1"/>
    <col min="7167" max="7167" width="21.28515625" style="10" customWidth="1"/>
    <col min="7168" max="7169" width="21.42578125" style="10" customWidth="1"/>
    <col min="7170" max="7170" width="25.7109375" style="10" customWidth="1"/>
    <col min="7171" max="7419" width="9" style="10"/>
    <col min="7420" max="7420" width="24" style="10" customWidth="1"/>
    <col min="7421" max="7421" width="31.42578125" style="10" customWidth="1"/>
    <col min="7422" max="7422" width="38.28515625" style="10" customWidth="1"/>
    <col min="7423" max="7423" width="21.28515625" style="10" customWidth="1"/>
    <col min="7424" max="7425" width="21.42578125" style="10" customWidth="1"/>
    <col min="7426" max="7426" width="25.7109375" style="10" customWidth="1"/>
    <col min="7427" max="7675" width="9" style="10"/>
    <col min="7676" max="7676" width="24" style="10" customWidth="1"/>
    <col min="7677" max="7677" width="31.42578125" style="10" customWidth="1"/>
    <col min="7678" max="7678" width="38.28515625" style="10" customWidth="1"/>
    <col min="7679" max="7679" width="21.28515625" style="10" customWidth="1"/>
    <col min="7680" max="7681" width="21.42578125" style="10" customWidth="1"/>
    <col min="7682" max="7682" width="25.7109375" style="10" customWidth="1"/>
    <col min="7683" max="7931" width="9" style="10"/>
    <col min="7932" max="7932" width="24" style="10" customWidth="1"/>
    <col min="7933" max="7933" width="31.42578125" style="10" customWidth="1"/>
    <col min="7934" max="7934" width="38.28515625" style="10" customWidth="1"/>
    <col min="7935" max="7935" width="21.28515625" style="10" customWidth="1"/>
    <col min="7936" max="7937" width="21.42578125" style="10" customWidth="1"/>
    <col min="7938" max="7938" width="25.7109375" style="10" customWidth="1"/>
    <col min="7939" max="8187" width="9" style="10"/>
    <col min="8188" max="8188" width="24" style="10" customWidth="1"/>
    <col min="8189" max="8189" width="31.42578125" style="10" customWidth="1"/>
    <col min="8190" max="8190" width="38.28515625" style="10" customWidth="1"/>
    <col min="8191" max="8191" width="21.28515625" style="10" customWidth="1"/>
    <col min="8192" max="8193" width="21.42578125" style="10" customWidth="1"/>
    <col min="8194" max="8194" width="25.7109375" style="10" customWidth="1"/>
    <col min="8195" max="8443" width="9" style="10"/>
    <col min="8444" max="8444" width="24" style="10" customWidth="1"/>
    <col min="8445" max="8445" width="31.42578125" style="10" customWidth="1"/>
    <col min="8446" max="8446" width="38.28515625" style="10" customWidth="1"/>
    <col min="8447" max="8447" width="21.28515625" style="10" customWidth="1"/>
    <col min="8448" max="8449" width="21.42578125" style="10" customWidth="1"/>
    <col min="8450" max="8450" width="25.7109375" style="10" customWidth="1"/>
    <col min="8451" max="8699" width="9" style="10"/>
    <col min="8700" max="8700" width="24" style="10" customWidth="1"/>
    <col min="8701" max="8701" width="31.42578125" style="10" customWidth="1"/>
    <col min="8702" max="8702" width="38.28515625" style="10" customWidth="1"/>
    <col min="8703" max="8703" width="21.28515625" style="10" customWidth="1"/>
    <col min="8704" max="8705" width="21.42578125" style="10" customWidth="1"/>
    <col min="8706" max="8706" width="25.7109375" style="10" customWidth="1"/>
    <col min="8707" max="8955" width="9" style="10"/>
    <col min="8956" max="8956" width="24" style="10" customWidth="1"/>
    <col min="8957" max="8957" width="31.42578125" style="10" customWidth="1"/>
    <col min="8958" max="8958" width="38.28515625" style="10" customWidth="1"/>
    <col min="8959" max="8959" width="21.28515625" style="10" customWidth="1"/>
    <col min="8960" max="8961" width="21.42578125" style="10" customWidth="1"/>
    <col min="8962" max="8962" width="25.7109375" style="10" customWidth="1"/>
    <col min="8963" max="9211" width="9" style="10"/>
    <col min="9212" max="9212" width="24" style="10" customWidth="1"/>
    <col min="9213" max="9213" width="31.42578125" style="10" customWidth="1"/>
    <col min="9214" max="9214" width="38.28515625" style="10" customWidth="1"/>
    <col min="9215" max="9215" width="21.28515625" style="10" customWidth="1"/>
    <col min="9216" max="9217" width="21.42578125" style="10" customWidth="1"/>
    <col min="9218" max="9218" width="25.7109375" style="10" customWidth="1"/>
    <col min="9219" max="9467" width="9" style="10"/>
    <col min="9468" max="9468" width="24" style="10" customWidth="1"/>
    <col min="9469" max="9469" width="31.42578125" style="10" customWidth="1"/>
    <col min="9470" max="9470" width="38.28515625" style="10" customWidth="1"/>
    <col min="9471" max="9471" width="21.28515625" style="10" customWidth="1"/>
    <col min="9472" max="9473" width="21.42578125" style="10" customWidth="1"/>
    <col min="9474" max="9474" width="25.7109375" style="10" customWidth="1"/>
    <col min="9475" max="9723" width="9" style="10"/>
    <col min="9724" max="9724" width="24" style="10" customWidth="1"/>
    <col min="9725" max="9725" width="31.42578125" style="10" customWidth="1"/>
    <col min="9726" max="9726" width="38.28515625" style="10" customWidth="1"/>
    <col min="9727" max="9727" width="21.28515625" style="10" customWidth="1"/>
    <col min="9728" max="9729" width="21.42578125" style="10" customWidth="1"/>
    <col min="9730" max="9730" width="25.7109375" style="10" customWidth="1"/>
    <col min="9731" max="9979" width="9" style="10"/>
    <col min="9980" max="9980" width="24" style="10" customWidth="1"/>
    <col min="9981" max="9981" width="31.42578125" style="10" customWidth="1"/>
    <col min="9982" max="9982" width="38.28515625" style="10" customWidth="1"/>
    <col min="9983" max="9983" width="21.28515625" style="10" customWidth="1"/>
    <col min="9984" max="9985" width="21.42578125" style="10" customWidth="1"/>
    <col min="9986" max="9986" width="25.7109375" style="10" customWidth="1"/>
    <col min="9987" max="10235" width="9" style="10"/>
    <col min="10236" max="10236" width="24" style="10" customWidth="1"/>
    <col min="10237" max="10237" width="31.42578125" style="10" customWidth="1"/>
    <col min="10238" max="10238" width="38.28515625" style="10" customWidth="1"/>
    <col min="10239" max="10239" width="21.28515625" style="10" customWidth="1"/>
    <col min="10240" max="10241" width="21.42578125" style="10" customWidth="1"/>
    <col min="10242" max="10242" width="25.7109375" style="10" customWidth="1"/>
    <col min="10243" max="10491" width="9" style="10"/>
    <col min="10492" max="10492" width="24" style="10" customWidth="1"/>
    <col min="10493" max="10493" width="31.42578125" style="10" customWidth="1"/>
    <col min="10494" max="10494" width="38.28515625" style="10" customWidth="1"/>
    <col min="10495" max="10495" width="21.28515625" style="10" customWidth="1"/>
    <col min="10496" max="10497" width="21.42578125" style="10" customWidth="1"/>
    <col min="10498" max="10498" width="25.7109375" style="10" customWidth="1"/>
    <col min="10499" max="10747" width="9" style="10"/>
    <col min="10748" max="10748" width="24" style="10" customWidth="1"/>
    <col min="10749" max="10749" width="31.42578125" style="10" customWidth="1"/>
    <col min="10750" max="10750" width="38.28515625" style="10" customWidth="1"/>
    <col min="10751" max="10751" width="21.28515625" style="10" customWidth="1"/>
    <col min="10752" max="10753" width="21.42578125" style="10" customWidth="1"/>
    <col min="10754" max="10754" width="25.7109375" style="10" customWidth="1"/>
    <col min="10755" max="11003" width="9" style="10"/>
    <col min="11004" max="11004" width="24" style="10" customWidth="1"/>
    <col min="11005" max="11005" width="31.42578125" style="10" customWidth="1"/>
    <col min="11006" max="11006" width="38.28515625" style="10" customWidth="1"/>
    <col min="11007" max="11007" width="21.28515625" style="10" customWidth="1"/>
    <col min="11008" max="11009" width="21.42578125" style="10" customWidth="1"/>
    <col min="11010" max="11010" width="25.7109375" style="10" customWidth="1"/>
    <col min="11011" max="11259" width="9" style="10"/>
    <col min="11260" max="11260" width="24" style="10" customWidth="1"/>
    <col min="11261" max="11261" width="31.42578125" style="10" customWidth="1"/>
    <col min="11262" max="11262" width="38.28515625" style="10" customWidth="1"/>
    <col min="11263" max="11263" width="21.28515625" style="10" customWidth="1"/>
    <col min="11264" max="11265" width="21.42578125" style="10" customWidth="1"/>
    <col min="11266" max="11266" width="25.7109375" style="10" customWidth="1"/>
    <col min="11267" max="11515" width="9" style="10"/>
    <col min="11516" max="11516" width="24" style="10" customWidth="1"/>
    <col min="11517" max="11517" width="31.42578125" style="10" customWidth="1"/>
    <col min="11518" max="11518" width="38.28515625" style="10" customWidth="1"/>
    <col min="11519" max="11519" width="21.28515625" style="10" customWidth="1"/>
    <col min="11520" max="11521" width="21.42578125" style="10" customWidth="1"/>
    <col min="11522" max="11522" width="25.7109375" style="10" customWidth="1"/>
    <col min="11523" max="11771" width="9" style="10"/>
    <col min="11772" max="11772" width="24" style="10" customWidth="1"/>
    <col min="11773" max="11773" width="31.42578125" style="10" customWidth="1"/>
    <col min="11774" max="11774" width="38.28515625" style="10" customWidth="1"/>
    <col min="11775" max="11775" width="21.28515625" style="10" customWidth="1"/>
    <col min="11776" max="11777" width="21.42578125" style="10" customWidth="1"/>
    <col min="11778" max="11778" width="25.7109375" style="10" customWidth="1"/>
    <col min="11779" max="12027" width="9" style="10"/>
    <col min="12028" max="12028" width="24" style="10" customWidth="1"/>
    <col min="12029" max="12029" width="31.42578125" style="10" customWidth="1"/>
    <col min="12030" max="12030" width="38.28515625" style="10" customWidth="1"/>
    <col min="12031" max="12031" width="21.28515625" style="10" customWidth="1"/>
    <col min="12032" max="12033" width="21.42578125" style="10" customWidth="1"/>
    <col min="12034" max="12034" width="25.7109375" style="10" customWidth="1"/>
    <col min="12035" max="12283" width="9" style="10"/>
    <col min="12284" max="12284" width="24" style="10" customWidth="1"/>
    <col min="12285" max="12285" width="31.42578125" style="10" customWidth="1"/>
    <col min="12286" max="12286" width="38.28515625" style="10" customWidth="1"/>
    <col min="12287" max="12287" width="21.28515625" style="10" customWidth="1"/>
    <col min="12288" max="12289" width="21.42578125" style="10" customWidth="1"/>
    <col min="12290" max="12290" width="25.7109375" style="10" customWidth="1"/>
    <col min="12291" max="12539" width="9" style="10"/>
    <col min="12540" max="12540" width="24" style="10" customWidth="1"/>
    <col min="12541" max="12541" width="31.42578125" style="10" customWidth="1"/>
    <col min="12542" max="12542" width="38.28515625" style="10" customWidth="1"/>
    <col min="12543" max="12543" width="21.28515625" style="10" customWidth="1"/>
    <col min="12544" max="12545" width="21.42578125" style="10" customWidth="1"/>
    <col min="12546" max="12546" width="25.7109375" style="10" customWidth="1"/>
    <col min="12547" max="12795" width="9" style="10"/>
    <col min="12796" max="12796" width="24" style="10" customWidth="1"/>
    <col min="12797" max="12797" width="31.42578125" style="10" customWidth="1"/>
    <col min="12798" max="12798" width="38.28515625" style="10" customWidth="1"/>
    <col min="12799" max="12799" width="21.28515625" style="10" customWidth="1"/>
    <col min="12800" max="12801" width="21.42578125" style="10" customWidth="1"/>
    <col min="12802" max="12802" width="25.7109375" style="10" customWidth="1"/>
    <col min="12803" max="13051" width="9" style="10"/>
    <col min="13052" max="13052" width="24" style="10" customWidth="1"/>
    <col min="13053" max="13053" width="31.42578125" style="10" customWidth="1"/>
    <col min="13054" max="13054" width="38.28515625" style="10" customWidth="1"/>
    <col min="13055" max="13055" width="21.28515625" style="10" customWidth="1"/>
    <col min="13056" max="13057" width="21.42578125" style="10" customWidth="1"/>
    <col min="13058" max="13058" width="25.7109375" style="10" customWidth="1"/>
    <col min="13059" max="13307" width="9" style="10"/>
    <col min="13308" max="13308" width="24" style="10" customWidth="1"/>
    <col min="13309" max="13309" width="31.42578125" style="10" customWidth="1"/>
    <col min="13310" max="13310" width="38.28515625" style="10" customWidth="1"/>
    <col min="13311" max="13311" width="21.28515625" style="10" customWidth="1"/>
    <col min="13312" max="13313" width="21.42578125" style="10" customWidth="1"/>
    <col min="13314" max="13314" width="25.7109375" style="10" customWidth="1"/>
    <col min="13315" max="13563" width="9" style="10"/>
    <col min="13564" max="13564" width="24" style="10" customWidth="1"/>
    <col min="13565" max="13565" width="31.42578125" style="10" customWidth="1"/>
    <col min="13566" max="13566" width="38.28515625" style="10" customWidth="1"/>
    <col min="13567" max="13567" width="21.28515625" style="10" customWidth="1"/>
    <col min="13568" max="13569" width="21.42578125" style="10" customWidth="1"/>
    <col min="13570" max="13570" width="25.7109375" style="10" customWidth="1"/>
    <col min="13571" max="13819" width="9" style="10"/>
    <col min="13820" max="13820" width="24" style="10" customWidth="1"/>
    <col min="13821" max="13821" width="31.42578125" style="10" customWidth="1"/>
    <col min="13822" max="13822" width="38.28515625" style="10" customWidth="1"/>
    <col min="13823" max="13823" width="21.28515625" style="10" customWidth="1"/>
    <col min="13824" max="13825" width="21.42578125" style="10" customWidth="1"/>
    <col min="13826" max="13826" width="25.7109375" style="10" customWidth="1"/>
    <col min="13827" max="14075" width="9" style="10"/>
    <col min="14076" max="14076" width="24" style="10" customWidth="1"/>
    <col min="14077" max="14077" width="31.42578125" style="10" customWidth="1"/>
    <col min="14078" max="14078" width="38.28515625" style="10" customWidth="1"/>
    <col min="14079" max="14079" width="21.28515625" style="10" customWidth="1"/>
    <col min="14080" max="14081" width="21.42578125" style="10" customWidth="1"/>
    <col min="14082" max="14082" width="25.7109375" style="10" customWidth="1"/>
    <col min="14083" max="14331" width="9" style="10"/>
    <col min="14332" max="14332" width="24" style="10" customWidth="1"/>
    <col min="14333" max="14333" width="31.42578125" style="10" customWidth="1"/>
    <col min="14334" max="14334" width="38.28515625" style="10" customWidth="1"/>
    <col min="14335" max="14335" width="21.28515625" style="10" customWidth="1"/>
    <col min="14336" max="14337" width="21.42578125" style="10" customWidth="1"/>
    <col min="14338" max="14338" width="25.7109375" style="10" customWidth="1"/>
    <col min="14339" max="14587" width="9" style="10"/>
    <col min="14588" max="14588" width="24" style="10" customWidth="1"/>
    <col min="14589" max="14589" width="31.42578125" style="10" customWidth="1"/>
    <col min="14590" max="14590" width="38.28515625" style="10" customWidth="1"/>
    <col min="14591" max="14591" width="21.28515625" style="10" customWidth="1"/>
    <col min="14592" max="14593" width="21.42578125" style="10" customWidth="1"/>
    <col min="14594" max="14594" width="25.7109375" style="10" customWidth="1"/>
    <col min="14595" max="14843" width="9" style="10"/>
    <col min="14844" max="14844" width="24" style="10" customWidth="1"/>
    <col min="14845" max="14845" width="31.42578125" style="10" customWidth="1"/>
    <col min="14846" max="14846" width="38.28515625" style="10" customWidth="1"/>
    <col min="14847" max="14847" width="21.28515625" style="10" customWidth="1"/>
    <col min="14848" max="14849" width="21.42578125" style="10" customWidth="1"/>
    <col min="14850" max="14850" width="25.7109375" style="10" customWidth="1"/>
    <col min="14851" max="15099" width="9" style="10"/>
    <col min="15100" max="15100" width="24" style="10" customWidth="1"/>
    <col min="15101" max="15101" width="31.42578125" style="10" customWidth="1"/>
    <col min="15102" max="15102" width="38.28515625" style="10" customWidth="1"/>
    <col min="15103" max="15103" width="21.28515625" style="10" customWidth="1"/>
    <col min="15104" max="15105" width="21.42578125" style="10" customWidth="1"/>
    <col min="15106" max="15106" width="25.7109375" style="10" customWidth="1"/>
    <col min="15107" max="15355" width="9" style="10"/>
    <col min="15356" max="15356" width="24" style="10" customWidth="1"/>
    <col min="15357" max="15357" width="31.42578125" style="10" customWidth="1"/>
    <col min="15358" max="15358" width="38.28515625" style="10" customWidth="1"/>
    <col min="15359" max="15359" width="21.28515625" style="10" customWidth="1"/>
    <col min="15360" max="15361" width="21.42578125" style="10" customWidth="1"/>
    <col min="15362" max="15362" width="25.7109375" style="10" customWidth="1"/>
    <col min="15363" max="15611" width="9" style="10"/>
    <col min="15612" max="15612" width="24" style="10" customWidth="1"/>
    <col min="15613" max="15613" width="31.42578125" style="10" customWidth="1"/>
    <col min="15614" max="15614" width="38.28515625" style="10" customWidth="1"/>
    <col min="15615" max="15615" width="21.28515625" style="10" customWidth="1"/>
    <col min="15616" max="15617" width="21.42578125" style="10" customWidth="1"/>
    <col min="15618" max="15618" width="25.7109375" style="10" customWidth="1"/>
    <col min="15619" max="15867" width="9" style="10"/>
    <col min="15868" max="15868" width="24" style="10" customWidth="1"/>
    <col min="15869" max="15869" width="31.42578125" style="10" customWidth="1"/>
    <col min="15870" max="15870" width="38.28515625" style="10" customWidth="1"/>
    <col min="15871" max="15871" width="21.28515625" style="10" customWidth="1"/>
    <col min="15872" max="15873" width="21.42578125" style="10" customWidth="1"/>
    <col min="15874" max="15874" width="25.7109375" style="10" customWidth="1"/>
    <col min="15875" max="16123" width="9" style="10"/>
    <col min="16124" max="16124" width="24" style="10" customWidth="1"/>
    <col min="16125" max="16125" width="31.42578125" style="10" customWidth="1"/>
    <col min="16126" max="16126" width="38.28515625" style="10" customWidth="1"/>
    <col min="16127" max="16127" width="21.28515625" style="10" customWidth="1"/>
    <col min="16128" max="16129" width="21.42578125" style="10" customWidth="1"/>
    <col min="16130" max="16130" width="25.7109375" style="10" customWidth="1"/>
    <col min="16131" max="16384" width="9" style="10"/>
  </cols>
  <sheetData>
    <row r="1" spans="1:3" ht="15.75" customHeight="1">
      <c r="A1" s="264" t="s">
        <v>1641</v>
      </c>
      <c r="B1" s="264"/>
      <c r="C1" s="264"/>
    </row>
    <row r="2" spans="1:3">
      <c r="B2" s="11"/>
    </row>
    <row r="3" spans="1:3" s="12" customFormat="1">
      <c r="A3" s="16" t="s">
        <v>1646</v>
      </c>
      <c r="B3" s="16" t="s">
        <v>1619</v>
      </c>
      <c r="C3" s="16" t="s">
        <v>1623</v>
      </c>
    </row>
    <row r="4" spans="1:3">
      <c r="A4" s="15" t="s">
        <v>1686</v>
      </c>
      <c r="B4" s="13" t="s">
        <v>89</v>
      </c>
      <c r="C4" s="13" t="s">
        <v>1624</v>
      </c>
    </row>
    <row r="5" spans="1:3">
      <c r="A5" s="15" t="s">
        <v>1672</v>
      </c>
      <c r="B5" s="13" t="s">
        <v>1642</v>
      </c>
      <c r="C5" s="13" t="s">
        <v>1625</v>
      </c>
    </row>
    <row r="6" spans="1:3">
      <c r="A6" s="15" t="s">
        <v>1673</v>
      </c>
      <c r="B6" s="13" t="s">
        <v>74</v>
      </c>
      <c r="C6" s="13" t="s">
        <v>1626</v>
      </c>
    </row>
    <row r="7" spans="1:3">
      <c r="A7" s="15" t="s">
        <v>1674</v>
      </c>
      <c r="B7" s="13" t="s">
        <v>1643</v>
      </c>
      <c r="C7" s="13" t="s">
        <v>1627</v>
      </c>
    </row>
    <row r="8" spans="1:3">
      <c r="A8" s="15" t="s">
        <v>1675</v>
      </c>
      <c r="B8" s="13" t="s">
        <v>41</v>
      </c>
      <c r="C8" s="13" t="s">
        <v>1628</v>
      </c>
    </row>
    <row r="9" spans="1:3">
      <c r="A9" s="15" t="s">
        <v>1676</v>
      </c>
      <c r="B9" s="13" t="s">
        <v>78</v>
      </c>
      <c r="C9" s="13" t="s">
        <v>1629</v>
      </c>
    </row>
    <row r="10" spans="1:3">
      <c r="A10" s="15" t="s">
        <v>1677</v>
      </c>
      <c r="B10" s="13" t="s">
        <v>1644</v>
      </c>
      <c r="C10" s="13" t="s">
        <v>1630</v>
      </c>
    </row>
    <row r="11" spans="1:3">
      <c r="A11" s="15" t="s">
        <v>1678</v>
      </c>
      <c r="B11" s="13" t="s">
        <v>59</v>
      </c>
      <c r="C11" s="13" t="s">
        <v>1631</v>
      </c>
    </row>
    <row r="12" spans="1:3">
      <c r="A12" s="15" t="s">
        <v>1680</v>
      </c>
      <c r="B12" s="13" t="s">
        <v>90</v>
      </c>
      <c r="C12" s="13" t="s">
        <v>1632</v>
      </c>
    </row>
    <row r="13" spans="1:3">
      <c r="A13" s="15" t="s">
        <v>1679</v>
      </c>
      <c r="B13" s="13" t="s">
        <v>91</v>
      </c>
      <c r="C13" s="13" t="s">
        <v>1633</v>
      </c>
    </row>
    <row r="14" spans="1:3">
      <c r="A14" s="15" t="s">
        <v>1681</v>
      </c>
      <c r="B14" s="13" t="s">
        <v>75</v>
      </c>
      <c r="C14" s="13" t="s">
        <v>1634</v>
      </c>
    </row>
    <row r="15" spans="1:3">
      <c r="A15" s="15" t="s">
        <v>1682</v>
      </c>
      <c r="B15" s="13" t="s">
        <v>79</v>
      </c>
      <c r="C15" s="13" t="s">
        <v>1635</v>
      </c>
    </row>
    <row r="16" spans="1:3">
      <c r="A16" s="15" t="s">
        <v>1683</v>
      </c>
      <c r="B16" s="13" t="s">
        <v>1645</v>
      </c>
      <c r="C16" s="13"/>
    </row>
    <row r="17" spans="1:3">
      <c r="A17" s="15" t="s">
        <v>1684</v>
      </c>
      <c r="B17" s="13" t="s">
        <v>100</v>
      </c>
      <c r="C17" s="13"/>
    </row>
    <row r="18" spans="1:3">
      <c r="A18" s="15" t="s">
        <v>1685</v>
      </c>
      <c r="B18" s="13" t="s">
        <v>102</v>
      </c>
      <c r="C18" s="13"/>
    </row>
    <row r="22" spans="1:3">
      <c r="B22" s="14"/>
    </row>
  </sheetData>
  <autoFilter ref="B3:B18"/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selection activeCell="B14" sqref="B14"/>
    </sheetView>
  </sheetViews>
  <sheetFormatPr defaultRowHeight="15"/>
  <cols>
    <col min="1" max="1" width="5.28515625" customWidth="1"/>
    <col min="2" max="2" width="14.42578125" bestFit="1" customWidth="1"/>
    <col min="3" max="3" width="30.140625" customWidth="1"/>
    <col min="4" max="6" width="5.85546875" customWidth="1"/>
    <col min="7" max="7" width="7.7109375" customWidth="1"/>
    <col min="8" max="8" width="6.42578125" customWidth="1"/>
    <col min="9" max="9" width="6.5703125" customWidth="1"/>
    <col min="10" max="10" width="8.7109375" customWidth="1"/>
    <col min="11" max="11" width="7.85546875" customWidth="1"/>
    <col min="12" max="12" width="7" customWidth="1"/>
    <col min="13" max="13" width="13.28515625" customWidth="1"/>
    <col min="14" max="14" width="8.7109375" customWidth="1"/>
    <col min="15" max="15" width="12.85546875" customWidth="1"/>
  </cols>
  <sheetData>
    <row r="1" spans="1:15" ht="23.25">
      <c r="A1" s="265" t="s">
        <v>2756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</row>
    <row r="2" spans="1:15" ht="15.75" thickBot="1">
      <c r="A2" s="31"/>
      <c r="B2" s="31"/>
      <c r="C2" s="32"/>
      <c r="D2" s="32"/>
      <c r="E2" s="31"/>
      <c r="F2" s="31"/>
      <c r="G2" s="33"/>
      <c r="H2" s="34"/>
      <c r="I2" s="35"/>
      <c r="J2" s="36"/>
      <c r="K2" s="37"/>
      <c r="L2" s="37"/>
      <c r="M2" s="38"/>
      <c r="N2" s="31"/>
      <c r="O2" s="31"/>
    </row>
    <row r="3" spans="1:15">
      <c r="A3" s="39" t="s">
        <v>2757</v>
      </c>
      <c r="B3" s="87"/>
      <c r="C3" s="40"/>
      <c r="D3" s="266" t="s">
        <v>2758</v>
      </c>
      <c r="E3" s="267"/>
      <c r="F3" s="267"/>
      <c r="G3" s="267"/>
      <c r="H3" s="267"/>
      <c r="I3" s="267"/>
      <c r="J3" s="268"/>
      <c r="K3" s="266" t="s">
        <v>2759</v>
      </c>
      <c r="L3" s="267"/>
      <c r="M3" s="268"/>
      <c r="N3" s="266" t="s">
        <v>2760</v>
      </c>
      <c r="O3" s="269"/>
    </row>
    <row r="4" spans="1:15">
      <c r="A4" s="41" t="s">
        <v>2761</v>
      </c>
      <c r="B4" s="88"/>
      <c r="C4" s="42"/>
      <c r="D4" s="270" t="s">
        <v>2762</v>
      </c>
      <c r="E4" s="271"/>
      <c r="F4" s="271"/>
      <c r="G4" s="271"/>
      <c r="H4" s="271"/>
      <c r="I4" s="271"/>
      <c r="J4" s="272"/>
      <c r="K4" s="273">
        <v>44305</v>
      </c>
      <c r="L4" s="274"/>
      <c r="M4" s="275"/>
      <c r="N4" s="276">
        <v>1</v>
      </c>
      <c r="O4" s="277"/>
    </row>
    <row r="5" spans="1:15">
      <c r="A5" s="43" t="s">
        <v>2763</v>
      </c>
      <c r="B5" s="89"/>
      <c r="C5" s="42"/>
      <c r="D5" s="278" t="s">
        <v>2764</v>
      </c>
      <c r="E5" s="279"/>
      <c r="F5" s="279"/>
      <c r="G5" s="279"/>
      <c r="H5" s="279"/>
      <c r="I5" s="279"/>
      <c r="J5" s="280"/>
      <c r="K5" s="278" t="s">
        <v>2765</v>
      </c>
      <c r="L5" s="279"/>
      <c r="M5" s="280"/>
      <c r="N5" s="278" t="s">
        <v>2766</v>
      </c>
      <c r="O5" s="281"/>
    </row>
    <row r="6" spans="1:15">
      <c r="A6" s="41" t="s">
        <v>2767</v>
      </c>
      <c r="B6" s="88"/>
      <c r="C6" s="42"/>
      <c r="D6" s="282" t="s">
        <v>2768</v>
      </c>
      <c r="E6" s="283"/>
      <c r="F6" s="283"/>
      <c r="G6" s="283"/>
      <c r="H6" s="283"/>
      <c r="I6" s="283"/>
      <c r="J6" s="284"/>
      <c r="K6" s="285" t="s">
        <v>2769</v>
      </c>
      <c r="L6" s="286"/>
      <c r="M6" s="287"/>
      <c r="N6" s="288"/>
      <c r="O6" s="289"/>
    </row>
    <row r="7" spans="1:15">
      <c r="A7" s="290" t="s">
        <v>2770</v>
      </c>
      <c r="B7" s="291"/>
      <c r="C7" s="291"/>
      <c r="D7" s="292" t="s">
        <v>2771</v>
      </c>
      <c r="E7" s="293"/>
      <c r="F7" s="293"/>
      <c r="G7" s="293"/>
      <c r="H7" s="293"/>
      <c r="I7" s="293"/>
      <c r="J7" s="294"/>
      <c r="K7" s="278" t="s">
        <v>2772</v>
      </c>
      <c r="L7" s="279"/>
      <c r="M7" s="280"/>
      <c r="N7" s="278" t="s">
        <v>2773</v>
      </c>
      <c r="O7" s="281"/>
    </row>
    <row r="8" spans="1:15">
      <c r="A8" s="290"/>
      <c r="B8" s="291"/>
      <c r="C8" s="291"/>
      <c r="D8" s="282" t="s">
        <v>2774</v>
      </c>
      <c r="E8" s="283"/>
      <c r="F8" s="283"/>
      <c r="G8" s="283"/>
      <c r="H8" s="283"/>
      <c r="I8" s="283"/>
      <c r="J8" s="284"/>
      <c r="K8" s="282"/>
      <c r="L8" s="283"/>
      <c r="M8" s="284"/>
      <c r="N8" s="295" t="s">
        <v>2775</v>
      </c>
      <c r="O8" s="296"/>
    </row>
    <row r="9" spans="1:15">
      <c r="A9" s="297" t="s">
        <v>2776</v>
      </c>
      <c r="B9" s="299" t="s">
        <v>2802</v>
      </c>
      <c r="C9" s="298" t="s">
        <v>2777</v>
      </c>
      <c r="D9" s="300" t="s">
        <v>2778</v>
      </c>
      <c r="E9" s="301"/>
      <c r="F9" s="301"/>
      <c r="G9" s="298" t="s">
        <v>2779</v>
      </c>
      <c r="H9" s="298"/>
      <c r="I9" s="298"/>
      <c r="J9" s="298"/>
      <c r="K9" s="298"/>
      <c r="L9" s="44"/>
      <c r="M9" s="302" t="s">
        <v>2780</v>
      </c>
      <c r="N9" s="298" t="s">
        <v>2781</v>
      </c>
      <c r="O9" s="305" t="s">
        <v>2782</v>
      </c>
    </row>
    <row r="10" spans="1:15">
      <c r="A10" s="297"/>
      <c r="B10" s="304"/>
      <c r="C10" s="299"/>
      <c r="D10" s="45" t="s">
        <v>2783</v>
      </c>
      <c r="E10" s="46" t="s">
        <v>2784</v>
      </c>
      <c r="F10" s="46" t="s">
        <v>2785</v>
      </c>
      <c r="G10" s="46" t="s">
        <v>2786</v>
      </c>
      <c r="H10" s="45" t="s">
        <v>2787</v>
      </c>
      <c r="I10" s="45" t="s">
        <v>2788</v>
      </c>
      <c r="J10" s="47" t="s">
        <v>2789</v>
      </c>
      <c r="K10" s="48" t="s">
        <v>2790</v>
      </c>
      <c r="L10" s="48" t="s">
        <v>2791</v>
      </c>
      <c r="M10" s="303"/>
      <c r="N10" s="298"/>
      <c r="O10" s="305"/>
    </row>
    <row r="11" spans="1:15" ht="43.5">
      <c r="A11" s="49">
        <v>1</v>
      </c>
      <c r="B11" s="90"/>
      <c r="C11" s="50" t="s">
        <v>2792</v>
      </c>
      <c r="D11" s="51">
        <v>90</v>
      </c>
      <c r="E11" s="51">
        <v>10</v>
      </c>
      <c r="F11" s="52">
        <v>10</v>
      </c>
      <c r="G11" s="53">
        <v>80</v>
      </c>
      <c r="H11" s="54" t="s">
        <v>2793</v>
      </c>
      <c r="I11" s="55">
        <f t="shared" ref="I11:I12" si="0">G11/M11</f>
        <v>2</v>
      </c>
      <c r="J11" s="56">
        <f>D11*E11*F11*G11/1000000</f>
        <v>0.72</v>
      </c>
      <c r="K11" s="56">
        <f>J11*2.7</f>
        <v>1.944</v>
      </c>
      <c r="L11" s="56">
        <f>K11/27</f>
        <v>7.1999999999999995E-2</v>
      </c>
      <c r="M11" s="57">
        <v>40</v>
      </c>
      <c r="N11" s="306" t="s">
        <v>2794</v>
      </c>
      <c r="O11" s="308" t="s">
        <v>2795</v>
      </c>
    </row>
    <row r="12" spans="1:15" ht="72">
      <c r="A12" s="49">
        <v>2</v>
      </c>
      <c r="B12" s="91"/>
      <c r="C12" s="58" t="s">
        <v>2796</v>
      </c>
      <c r="D12" s="310" t="s">
        <v>2797</v>
      </c>
      <c r="E12" s="311"/>
      <c r="F12" s="59">
        <v>6</v>
      </c>
      <c r="G12" s="53">
        <v>128</v>
      </c>
      <c r="H12" s="54" t="s">
        <v>2793</v>
      </c>
      <c r="I12" s="55">
        <f t="shared" si="0"/>
        <v>2</v>
      </c>
      <c r="J12" s="56">
        <f>35*35*F12*G12/1000000</f>
        <v>0.94079999999999997</v>
      </c>
      <c r="K12" s="56">
        <f>J12*2.7</f>
        <v>2.5401600000000002</v>
      </c>
      <c r="L12" s="56">
        <f>K12/27</f>
        <v>9.4080000000000011E-2</v>
      </c>
      <c r="M12" s="57">
        <v>64</v>
      </c>
      <c r="N12" s="307"/>
      <c r="O12" s="309"/>
    </row>
    <row r="13" spans="1:15" ht="15.75" thickBot="1">
      <c r="A13" s="60"/>
      <c r="B13" s="92"/>
      <c r="C13" s="312" t="s">
        <v>2798</v>
      </c>
      <c r="D13" s="313"/>
      <c r="E13" s="313"/>
      <c r="F13" s="314"/>
      <c r="G13" s="61">
        <f>SUM(G11:G12)</f>
        <v>208</v>
      </c>
      <c r="H13" s="62"/>
      <c r="I13" s="63">
        <f>SUM(I11:I12)</f>
        <v>4</v>
      </c>
      <c r="J13" s="62">
        <f>SUM(J11:J12)</f>
        <v>1.6608000000000001</v>
      </c>
      <c r="K13" s="62">
        <f>SUM(K11:K12)</f>
        <v>4.4841600000000001</v>
      </c>
      <c r="L13" s="62">
        <f>SUM(L11:L12)</f>
        <v>0.16608000000000001</v>
      </c>
      <c r="M13" s="64"/>
      <c r="N13" s="65"/>
      <c r="O13" s="66"/>
    </row>
    <row r="14" spans="1:15" ht="45.75" thickTop="1">
      <c r="A14" s="49">
        <v>1</v>
      </c>
      <c r="B14" s="90" t="s">
        <v>2803</v>
      </c>
      <c r="C14" s="50" t="str">
        <f>VLOOKUP(B14,'Ma SP'!B2:F520,5,FALSE)</f>
        <v>BAZAN XÁM, Đá cây-2 Mặt đốt, Cạnh còn lại sộ tay KT 90x10x10 SL:40 v/k</v>
      </c>
      <c r="D14" s="51" t="str">
        <f>VLOOKUP(B14,'Ma SP'!B2:L517,6,FALSE)</f>
        <v>901010</v>
      </c>
      <c r="E14" s="51">
        <f>VLOOKUP(B14,'Ma SP'!B2:J517,7,FALSE)</f>
        <v>90</v>
      </c>
      <c r="F14" s="51">
        <f>VLOOKUP(B14,'Ma SP'!B2:K517,8,FALSE)</f>
        <v>10</v>
      </c>
      <c r="G14" s="53">
        <v>80</v>
      </c>
      <c r="H14" s="54" t="s">
        <v>2793</v>
      </c>
      <c r="I14" s="55">
        <f t="shared" ref="I14:I15" si="1">G14/M14</f>
        <v>2</v>
      </c>
      <c r="J14" s="56">
        <f>D14*E14*F14*G14/1000000</f>
        <v>64872.72</v>
      </c>
      <c r="K14" s="56">
        <f>J14*2.7</f>
        <v>175156.34400000001</v>
      </c>
      <c r="L14" s="56">
        <f>K14/27</f>
        <v>6487.2720000000008</v>
      </c>
      <c r="M14" s="57">
        <v>40</v>
      </c>
      <c r="N14" s="306" t="s">
        <v>2794</v>
      </c>
      <c r="O14" s="308" t="s">
        <v>2795</v>
      </c>
    </row>
    <row r="15" spans="1:15" ht="45">
      <c r="A15" s="49">
        <v>2</v>
      </c>
      <c r="B15" s="91" t="s">
        <v>2804</v>
      </c>
      <c r="C15" s="50" t="str">
        <f>VLOOKUP(B15,'Ma SP'!B3:F521,5,FALSE)</f>
        <v>BAZAN XÁM, Đá vành-Mặt đốt, cạnh da đá, đáy cưa KT 30-40x30-40x6 SL: 64 v/k</v>
      </c>
      <c r="D15" s="51" t="str">
        <f>VLOOKUP(B15,'Ma SP'!B3:L518,6,FALSE)</f>
        <v>40306</v>
      </c>
      <c r="E15" s="51">
        <f>VLOOKUP(B15,'Ma SP'!B3:J518,7,FALSE)</f>
        <v>40</v>
      </c>
      <c r="F15" s="51">
        <f>VLOOKUP(B15,'Ma SP'!B3:K518,8,FALSE)</f>
        <v>30</v>
      </c>
      <c r="G15" s="53">
        <v>128</v>
      </c>
      <c r="H15" s="54" t="s">
        <v>2793</v>
      </c>
      <c r="I15" s="55">
        <f t="shared" si="1"/>
        <v>2</v>
      </c>
      <c r="J15" s="56">
        <f>35*35*F15*G15/1000000</f>
        <v>4.7039999999999997</v>
      </c>
      <c r="K15" s="56">
        <f>J15*2.7</f>
        <v>12.700800000000001</v>
      </c>
      <c r="L15" s="56">
        <f>K15/27</f>
        <v>0.47040000000000004</v>
      </c>
      <c r="M15" s="57">
        <v>64</v>
      </c>
      <c r="N15" s="307"/>
      <c r="O15" s="309"/>
    </row>
    <row r="16" spans="1:15" ht="15.75" thickBot="1">
      <c r="A16" s="60"/>
      <c r="B16" s="92"/>
      <c r="C16" s="312" t="s">
        <v>2798</v>
      </c>
      <c r="D16" s="313"/>
      <c r="E16" s="313"/>
      <c r="F16" s="314"/>
      <c r="G16" s="61">
        <f>SUM(G14:G15)</f>
        <v>208</v>
      </c>
      <c r="H16" s="62"/>
      <c r="I16" s="63">
        <f>SUM(I14:I15)</f>
        <v>4</v>
      </c>
      <c r="J16" s="62">
        <f>SUM(J14:J15)</f>
        <v>64877.423999999999</v>
      </c>
      <c r="K16" s="62">
        <f>SUM(K14:K15)</f>
        <v>175169.0448</v>
      </c>
      <c r="L16" s="62">
        <f>SUM(L14:L15)</f>
        <v>6487.742400000001</v>
      </c>
      <c r="M16" s="64"/>
      <c r="N16" s="65"/>
      <c r="O16" s="66"/>
    </row>
    <row r="17" spans="1:15" ht="15.75" thickTop="1">
      <c r="A17" s="67"/>
      <c r="B17" s="67"/>
      <c r="C17" s="68"/>
      <c r="D17" s="68"/>
      <c r="E17" s="68"/>
      <c r="F17" s="68"/>
      <c r="G17" s="69"/>
      <c r="H17" s="70"/>
      <c r="I17" s="71"/>
      <c r="J17" s="70"/>
      <c r="K17" s="70"/>
      <c r="L17" s="70"/>
      <c r="M17" s="72"/>
      <c r="N17" s="73"/>
      <c r="O17" s="74"/>
    </row>
    <row r="18" spans="1:15">
      <c r="A18" s="75" t="s">
        <v>2799</v>
      </c>
      <c r="B18" s="75"/>
      <c r="C18" s="31"/>
      <c r="D18" s="31"/>
      <c r="E18" s="31"/>
      <c r="F18" s="31"/>
      <c r="G18" s="76"/>
      <c r="H18" s="34"/>
      <c r="I18" s="35"/>
      <c r="J18" s="36"/>
      <c r="K18" s="37"/>
      <c r="L18" s="37"/>
      <c r="M18" s="316" t="s">
        <v>2800</v>
      </c>
      <c r="N18" s="316"/>
    </row>
    <row r="19" spans="1:15">
      <c r="A19" s="77"/>
      <c r="B19" s="77"/>
      <c r="C19" s="78"/>
      <c r="D19" s="79"/>
      <c r="E19" s="79"/>
      <c r="F19" s="79"/>
      <c r="G19" s="80"/>
      <c r="H19" s="81"/>
      <c r="I19" s="82"/>
      <c r="J19" s="83"/>
      <c r="K19" s="84"/>
      <c r="L19" s="84"/>
      <c r="O19" s="85"/>
    </row>
    <row r="20" spans="1:15" ht="15.75">
      <c r="A20" s="31"/>
      <c r="B20" s="31"/>
      <c r="C20" s="315"/>
      <c r="D20" s="315"/>
      <c r="E20" s="315"/>
      <c r="F20" s="315"/>
      <c r="G20" s="315"/>
      <c r="H20" s="315"/>
      <c r="I20" s="315"/>
      <c r="J20" s="315"/>
      <c r="K20" s="315"/>
      <c r="L20" s="37"/>
      <c r="M20" s="316" t="s">
        <v>2801</v>
      </c>
      <c r="N20" s="316"/>
      <c r="O20" s="31"/>
    </row>
    <row r="21" spans="1:15">
      <c r="A21" s="31"/>
      <c r="B21" s="31"/>
      <c r="C21" s="31"/>
      <c r="D21" s="31"/>
      <c r="E21" s="31"/>
      <c r="F21" s="31"/>
      <c r="G21" s="33"/>
      <c r="H21" s="34"/>
      <c r="I21" s="35"/>
      <c r="J21" s="36"/>
      <c r="K21" s="37"/>
      <c r="L21" s="37"/>
    </row>
    <row r="22" spans="1:15">
      <c r="A22" s="31"/>
      <c r="B22" s="31"/>
      <c r="C22" s="31"/>
      <c r="D22" s="31"/>
      <c r="E22" s="31"/>
      <c r="F22" s="31"/>
      <c r="G22" s="33"/>
      <c r="H22" s="34"/>
      <c r="I22" s="35"/>
      <c r="J22" s="36"/>
      <c r="K22" s="37"/>
      <c r="L22" s="37"/>
      <c r="M22" s="38"/>
      <c r="N22" s="31"/>
    </row>
    <row r="28" spans="1:15" ht="18.75">
      <c r="C28" s="86"/>
    </row>
    <row r="29" spans="1:15" ht="18.75">
      <c r="C29" s="86"/>
    </row>
  </sheetData>
  <mergeCells count="39">
    <mergeCell ref="C20:K20"/>
    <mergeCell ref="M20:N20"/>
    <mergeCell ref="N14:N15"/>
    <mergeCell ref="O14:O15"/>
    <mergeCell ref="C16:F16"/>
    <mergeCell ref="M18:N18"/>
    <mergeCell ref="O9:O10"/>
    <mergeCell ref="N11:N12"/>
    <mergeCell ref="O11:O12"/>
    <mergeCell ref="D12:E12"/>
    <mergeCell ref="C13:F13"/>
    <mergeCell ref="N9:N10"/>
    <mergeCell ref="A9:A10"/>
    <mergeCell ref="C9:C10"/>
    <mergeCell ref="D9:F9"/>
    <mergeCell ref="G9:K9"/>
    <mergeCell ref="M9:M10"/>
    <mergeCell ref="B9:B10"/>
    <mergeCell ref="A7:C7"/>
    <mergeCell ref="D7:J7"/>
    <mergeCell ref="K7:M7"/>
    <mergeCell ref="N7:O7"/>
    <mergeCell ref="A8:C8"/>
    <mergeCell ref="D8:J8"/>
    <mergeCell ref="K8:M8"/>
    <mergeCell ref="N8:O8"/>
    <mergeCell ref="D5:J5"/>
    <mergeCell ref="K5:M5"/>
    <mergeCell ref="N5:O5"/>
    <mergeCell ref="D6:J6"/>
    <mergeCell ref="K6:M6"/>
    <mergeCell ref="N6:O6"/>
    <mergeCell ref="A1:O1"/>
    <mergeCell ref="D3:J3"/>
    <mergeCell ref="K3:M3"/>
    <mergeCell ref="N3:O3"/>
    <mergeCell ref="D4:J4"/>
    <mergeCell ref="K4:M4"/>
    <mergeCell ref="N4:O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activeCell="B15" sqref="B15"/>
    </sheetView>
  </sheetViews>
  <sheetFormatPr defaultRowHeight="14.25"/>
  <cols>
    <col min="1" max="1" width="5" style="31" customWidth="1"/>
    <col min="2" max="2" width="11.140625" style="31" customWidth="1"/>
    <col min="3" max="3" width="34.5703125" style="31" customWidth="1"/>
    <col min="4" max="4" width="10.5703125" style="31" customWidth="1"/>
    <col min="5" max="6" width="5.5703125" style="31" customWidth="1"/>
    <col min="7" max="7" width="7.42578125" style="96" customWidth="1"/>
    <col min="8" max="8" width="7.42578125" style="96" hidden="1" customWidth="1"/>
    <col min="9" max="9" width="7.42578125" style="31" customWidth="1"/>
    <col min="10" max="10" width="8.42578125" style="34" customWidth="1"/>
    <col min="11" max="11" width="10.85546875" style="34" customWidth="1"/>
    <col min="12" max="12" width="14.28515625" style="97" customWidth="1"/>
    <col min="13" max="13" width="13.28515625" style="31" customWidth="1"/>
    <col min="14" max="14" width="15" style="31" customWidth="1"/>
    <col min="15" max="15" width="11.140625" style="31" customWidth="1"/>
    <col min="16" max="257" width="9.140625" style="31"/>
    <col min="258" max="258" width="5" style="31" customWidth="1"/>
    <col min="259" max="259" width="34.5703125" style="31" customWidth="1"/>
    <col min="260" max="260" width="10.5703125" style="31" customWidth="1"/>
    <col min="261" max="262" width="5.5703125" style="31" customWidth="1"/>
    <col min="263" max="263" width="7.42578125" style="31" customWidth="1"/>
    <col min="264" max="264" width="0" style="31" hidden="1" customWidth="1"/>
    <col min="265" max="265" width="7.42578125" style="31" customWidth="1"/>
    <col min="266" max="266" width="8.42578125" style="31" customWidth="1"/>
    <col min="267" max="267" width="10.85546875" style="31" customWidth="1"/>
    <col min="268" max="268" width="14.28515625" style="31" customWidth="1"/>
    <col min="269" max="269" width="13.28515625" style="31" customWidth="1"/>
    <col min="270" max="270" width="15" style="31" customWidth="1"/>
    <col min="271" max="271" width="11.140625" style="31" customWidth="1"/>
    <col min="272" max="513" width="9.140625" style="31"/>
    <col min="514" max="514" width="5" style="31" customWidth="1"/>
    <col min="515" max="515" width="34.5703125" style="31" customWidth="1"/>
    <col min="516" max="516" width="10.5703125" style="31" customWidth="1"/>
    <col min="517" max="518" width="5.5703125" style="31" customWidth="1"/>
    <col min="519" max="519" width="7.42578125" style="31" customWidth="1"/>
    <col min="520" max="520" width="0" style="31" hidden="1" customWidth="1"/>
    <col min="521" max="521" width="7.42578125" style="31" customWidth="1"/>
    <col min="522" max="522" width="8.42578125" style="31" customWidth="1"/>
    <col min="523" max="523" width="10.85546875" style="31" customWidth="1"/>
    <col min="524" max="524" width="14.28515625" style="31" customWidth="1"/>
    <col min="525" max="525" width="13.28515625" style="31" customWidth="1"/>
    <col min="526" max="526" width="15" style="31" customWidth="1"/>
    <col min="527" max="527" width="11.140625" style="31" customWidth="1"/>
    <col min="528" max="769" width="9.140625" style="31"/>
    <col min="770" max="770" width="5" style="31" customWidth="1"/>
    <col min="771" max="771" width="34.5703125" style="31" customWidth="1"/>
    <col min="772" max="772" width="10.5703125" style="31" customWidth="1"/>
    <col min="773" max="774" width="5.5703125" style="31" customWidth="1"/>
    <col min="775" max="775" width="7.42578125" style="31" customWidth="1"/>
    <col min="776" max="776" width="0" style="31" hidden="1" customWidth="1"/>
    <col min="777" max="777" width="7.42578125" style="31" customWidth="1"/>
    <col min="778" max="778" width="8.42578125" style="31" customWidth="1"/>
    <col min="779" max="779" width="10.85546875" style="31" customWidth="1"/>
    <col min="780" max="780" width="14.28515625" style="31" customWidth="1"/>
    <col min="781" max="781" width="13.28515625" style="31" customWidth="1"/>
    <col min="782" max="782" width="15" style="31" customWidth="1"/>
    <col min="783" max="783" width="11.140625" style="31" customWidth="1"/>
    <col min="784" max="1025" width="9.140625" style="31"/>
    <col min="1026" max="1026" width="5" style="31" customWidth="1"/>
    <col min="1027" max="1027" width="34.5703125" style="31" customWidth="1"/>
    <col min="1028" max="1028" width="10.5703125" style="31" customWidth="1"/>
    <col min="1029" max="1030" width="5.5703125" style="31" customWidth="1"/>
    <col min="1031" max="1031" width="7.42578125" style="31" customWidth="1"/>
    <col min="1032" max="1032" width="0" style="31" hidden="1" customWidth="1"/>
    <col min="1033" max="1033" width="7.42578125" style="31" customWidth="1"/>
    <col min="1034" max="1034" width="8.42578125" style="31" customWidth="1"/>
    <col min="1035" max="1035" width="10.85546875" style="31" customWidth="1"/>
    <col min="1036" max="1036" width="14.28515625" style="31" customWidth="1"/>
    <col min="1037" max="1037" width="13.28515625" style="31" customWidth="1"/>
    <col min="1038" max="1038" width="15" style="31" customWidth="1"/>
    <col min="1039" max="1039" width="11.140625" style="31" customWidth="1"/>
    <col min="1040" max="1281" width="9.140625" style="31"/>
    <col min="1282" max="1282" width="5" style="31" customWidth="1"/>
    <col min="1283" max="1283" width="34.5703125" style="31" customWidth="1"/>
    <col min="1284" max="1284" width="10.5703125" style="31" customWidth="1"/>
    <col min="1285" max="1286" width="5.5703125" style="31" customWidth="1"/>
    <col min="1287" max="1287" width="7.42578125" style="31" customWidth="1"/>
    <col min="1288" max="1288" width="0" style="31" hidden="1" customWidth="1"/>
    <col min="1289" max="1289" width="7.42578125" style="31" customWidth="1"/>
    <col min="1290" max="1290" width="8.42578125" style="31" customWidth="1"/>
    <col min="1291" max="1291" width="10.85546875" style="31" customWidth="1"/>
    <col min="1292" max="1292" width="14.28515625" style="31" customWidth="1"/>
    <col min="1293" max="1293" width="13.28515625" style="31" customWidth="1"/>
    <col min="1294" max="1294" width="15" style="31" customWidth="1"/>
    <col min="1295" max="1295" width="11.140625" style="31" customWidth="1"/>
    <col min="1296" max="1537" width="9.140625" style="31"/>
    <col min="1538" max="1538" width="5" style="31" customWidth="1"/>
    <col min="1539" max="1539" width="34.5703125" style="31" customWidth="1"/>
    <col min="1540" max="1540" width="10.5703125" style="31" customWidth="1"/>
    <col min="1541" max="1542" width="5.5703125" style="31" customWidth="1"/>
    <col min="1543" max="1543" width="7.42578125" style="31" customWidth="1"/>
    <col min="1544" max="1544" width="0" style="31" hidden="1" customWidth="1"/>
    <col min="1545" max="1545" width="7.42578125" style="31" customWidth="1"/>
    <col min="1546" max="1546" width="8.42578125" style="31" customWidth="1"/>
    <col min="1547" max="1547" width="10.85546875" style="31" customWidth="1"/>
    <col min="1548" max="1548" width="14.28515625" style="31" customWidth="1"/>
    <col min="1549" max="1549" width="13.28515625" style="31" customWidth="1"/>
    <col min="1550" max="1550" width="15" style="31" customWidth="1"/>
    <col min="1551" max="1551" width="11.140625" style="31" customWidth="1"/>
    <col min="1552" max="1793" width="9.140625" style="31"/>
    <col min="1794" max="1794" width="5" style="31" customWidth="1"/>
    <col min="1795" max="1795" width="34.5703125" style="31" customWidth="1"/>
    <col min="1796" max="1796" width="10.5703125" style="31" customWidth="1"/>
    <col min="1797" max="1798" width="5.5703125" style="31" customWidth="1"/>
    <col min="1799" max="1799" width="7.42578125" style="31" customWidth="1"/>
    <col min="1800" max="1800" width="0" style="31" hidden="1" customWidth="1"/>
    <col min="1801" max="1801" width="7.42578125" style="31" customWidth="1"/>
    <col min="1802" max="1802" width="8.42578125" style="31" customWidth="1"/>
    <col min="1803" max="1803" width="10.85546875" style="31" customWidth="1"/>
    <col min="1804" max="1804" width="14.28515625" style="31" customWidth="1"/>
    <col min="1805" max="1805" width="13.28515625" style="31" customWidth="1"/>
    <col min="1806" max="1806" width="15" style="31" customWidth="1"/>
    <col min="1807" max="1807" width="11.140625" style="31" customWidth="1"/>
    <col min="1808" max="2049" width="9.140625" style="31"/>
    <col min="2050" max="2050" width="5" style="31" customWidth="1"/>
    <col min="2051" max="2051" width="34.5703125" style="31" customWidth="1"/>
    <col min="2052" max="2052" width="10.5703125" style="31" customWidth="1"/>
    <col min="2053" max="2054" width="5.5703125" style="31" customWidth="1"/>
    <col min="2055" max="2055" width="7.42578125" style="31" customWidth="1"/>
    <col min="2056" max="2056" width="0" style="31" hidden="1" customWidth="1"/>
    <col min="2057" max="2057" width="7.42578125" style="31" customWidth="1"/>
    <col min="2058" max="2058" width="8.42578125" style="31" customWidth="1"/>
    <col min="2059" max="2059" width="10.85546875" style="31" customWidth="1"/>
    <col min="2060" max="2060" width="14.28515625" style="31" customWidth="1"/>
    <col min="2061" max="2061" width="13.28515625" style="31" customWidth="1"/>
    <col min="2062" max="2062" width="15" style="31" customWidth="1"/>
    <col min="2063" max="2063" width="11.140625" style="31" customWidth="1"/>
    <col min="2064" max="2305" width="9.140625" style="31"/>
    <col min="2306" max="2306" width="5" style="31" customWidth="1"/>
    <col min="2307" max="2307" width="34.5703125" style="31" customWidth="1"/>
    <col min="2308" max="2308" width="10.5703125" style="31" customWidth="1"/>
    <col min="2309" max="2310" width="5.5703125" style="31" customWidth="1"/>
    <col min="2311" max="2311" width="7.42578125" style="31" customWidth="1"/>
    <col min="2312" max="2312" width="0" style="31" hidden="1" customWidth="1"/>
    <col min="2313" max="2313" width="7.42578125" style="31" customWidth="1"/>
    <col min="2314" max="2314" width="8.42578125" style="31" customWidth="1"/>
    <col min="2315" max="2315" width="10.85546875" style="31" customWidth="1"/>
    <col min="2316" max="2316" width="14.28515625" style="31" customWidth="1"/>
    <col min="2317" max="2317" width="13.28515625" style="31" customWidth="1"/>
    <col min="2318" max="2318" width="15" style="31" customWidth="1"/>
    <col min="2319" max="2319" width="11.140625" style="31" customWidth="1"/>
    <col min="2320" max="2561" width="9.140625" style="31"/>
    <col min="2562" max="2562" width="5" style="31" customWidth="1"/>
    <col min="2563" max="2563" width="34.5703125" style="31" customWidth="1"/>
    <col min="2564" max="2564" width="10.5703125" style="31" customWidth="1"/>
    <col min="2565" max="2566" width="5.5703125" style="31" customWidth="1"/>
    <col min="2567" max="2567" width="7.42578125" style="31" customWidth="1"/>
    <col min="2568" max="2568" width="0" style="31" hidden="1" customWidth="1"/>
    <col min="2569" max="2569" width="7.42578125" style="31" customWidth="1"/>
    <col min="2570" max="2570" width="8.42578125" style="31" customWidth="1"/>
    <col min="2571" max="2571" width="10.85546875" style="31" customWidth="1"/>
    <col min="2572" max="2572" width="14.28515625" style="31" customWidth="1"/>
    <col min="2573" max="2573" width="13.28515625" style="31" customWidth="1"/>
    <col min="2574" max="2574" width="15" style="31" customWidth="1"/>
    <col min="2575" max="2575" width="11.140625" style="31" customWidth="1"/>
    <col min="2576" max="2817" width="9.140625" style="31"/>
    <col min="2818" max="2818" width="5" style="31" customWidth="1"/>
    <col min="2819" max="2819" width="34.5703125" style="31" customWidth="1"/>
    <col min="2820" max="2820" width="10.5703125" style="31" customWidth="1"/>
    <col min="2821" max="2822" width="5.5703125" style="31" customWidth="1"/>
    <col min="2823" max="2823" width="7.42578125" style="31" customWidth="1"/>
    <col min="2824" max="2824" width="0" style="31" hidden="1" customWidth="1"/>
    <col min="2825" max="2825" width="7.42578125" style="31" customWidth="1"/>
    <col min="2826" max="2826" width="8.42578125" style="31" customWidth="1"/>
    <col min="2827" max="2827" width="10.85546875" style="31" customWidth="1"/>
    <col min="2828" max="2828" width="14.28515625" style="31" customWidth="1"/>
    <col min="2829" max="2829" width="13.28515625" style="31" customWidth="1"/>
    <col min="2830" max="2830" width="15" style="31" customWidth="1"/>
    <col min="2831" max="2831" width="11.140625" style="31" customWidth="1"/>
    <col min="2832" max="3073" width="9.140625" style="31"/>
    <col min="3074" max="3074" width="5" style="31" customWidth="1"/>
    <col min="3075" max="3075" width="34.5703125" style="31" customWidth="1"/>
    <col min="3076" max="3076" width="10.5703125" style="31" customWidth="1"/>
    <col min="3077" max="3078" width="5.5703125" style="31" customWidth="1"/>
    <col min="3079" max="3079" width="7.42578125" style="31" customWidth="1"/>
    <col min="3080" max="3080" width="0" style="31" hidden="1" customWidth="1"/>
    <col min="3081" max="3081" width="7.42578125" style="31" customWidth="1"/>
    <col min="3082" max="3082" width="8.42578125" style="31" customWidth="1"/>
    <col min="3083" max="3083" width="10.85546875" style="31" customWidth="1"/>
    <col min="3084" max="3084" width="14.28515625" style="31" customWidth="1"/>
    <col min="3085" max="3085" width="13.28515625" style="31" customWidth="1"/>
    <col min="3086" max="3086" width="15" style="31" customWidth="1"/>
    <col min="3087" max="3087" width="11.140625" style="31" customWidth="1"/>
    <col min="3088" max="3329" width="9.140625" style="31"/>
    <col min="3330" max="3330" width="5" style="31" customWidth="1"/>
    <col min="3331" max="3331" width="34.5703125" style="31" customWidth="1"/>
    <col min="3332" max="3332" width="10.5703125" style="31" customWidth="1"/>
    <col min="3333" max="3334" width="5.5703125" style="31" customWidth="1"/>
    <col min="3335" max="3335" width="7.42578125" style="31" customWidth="1"/>
    <col min="3336" max="3336" width="0" style="31" hidden="1" customWidth="1"/>
    <col min="3337" max="3337" width="7.42578125" style="31" customWidth="1"/>
    <col min="3338" max="3338" width="8.42578125" style="31" customWidth="1"/>
    <col min="3339" max="3339" width="10.85546875" style="31" customWidth="1"/>
    <col min="3340" max="3340" width="14.28515625" style="31" customWidth="1"/>
    <col min="3341" max="3341" width="13.28515625" style="31" customWidth="1"/>
    <col min="3342" max="3342" width="15" style="31" customWidth="1"/>
    <col min="3343" max="3343" width="11.140625" style="31" customWidth="1"/>
    <col min="3344" max="3585" width="9.140625" style="31"/>
    <col min="3586" max="3586" width="5" style="31" customWidth="1"/>
    <col min="3587" max="3587" width="34.5703125" style="31" customWidth="1"/>
    <col min="3588" max="3588" width="10.5703125" style="31" customWidth="1"/>
    <col min="3589" max="3590" width="5.5703125" style="31" customWidth="1"/>
    <col min="3591" max="3591" width="7.42578125" style="31" customWidth="1"/>
    <col min="3592" max="3592" width="0" style="31" hidden="1" customWidth="1"/>
    <col min="3593" max="3593" width="7.42578125" style="31" customWidth="1"/>
    <col min="3594" max="3594" width="8.42578125" style="31" customWidth="1"/>
    <col min="3595" max="3595" width="10.85546875" style="31" customWidth="1"/>
    <col min="3596" max="3596" width="14.28515625" style="31" customWidth="1"/>
    <col min="3597" max="3597" width="13.28515625" style="31" customWidth="1"/>
    <col min="3598" max="3598" width="15" style="31" customWidth="1"/>
    <col min="3599" max="3599" width="11.140625" style="31" customWidth="1"/>
    <col min="3600" max="3841" width="9.140625" style="31"/>
    <col min="3842" max="3842" width="5" style="31" customWidth="1"/>
    <col min="3843" max="3843" width="34.5703125" style="31" customWidth="1"/>
    <col min="3844" max="3844" width="10.5703125" style="31" customWidth="1"/>
    <col min="3845" max="3846" width="5.5703125" style="31" customWidth="1"/>
    <col min="3847" max="3847" width="7.42578125" style="31" customWidth="1"/>
    <col min="3848" max="3848" width="0" style="31" hidden="1" customWidth="1"/>
    <col min="3849" max="3849" width="7.42578125" style="31" customWidth="1"/>
    <col min="3850" max="3850" width="8.42578125" style="31" customWidth="1"/>
    <col min="3851" max="3851" width="10.85546875" style="31" customWidth="1"/>
    <col min="3852" max="3852" width="14.28515625" style="31" customWidth="1"/>
    <col min="3853" max="3853" width="13.28515625" style="31" customWidth="1"/>
    <col min="3854" max="3854" width="15" style="31" customWidth="1"/>
    <col min="3855" max="3855" width="11.140625" style="31" customWidth="1"/>
    <col min="3856" max="4097" width="9.140625" style="31"/>
    <col min="4098" max="4098" width="5" style="31" customWidth="1"/>
    <col min="4099" max="4099" width="34.5703125" style="31" customWidth="1"/>
    <col min="4100" max="4100" width="10.5703125" style="31" customWidth="1"/>
    <col min="4101" max="4102" width="5.5703125" style="31" customWidth="1"/>
    <col min="4103" max="4103" width="7.42578125" style="31" customWidth="1"/>
    <col min="4104" max="4104" width="0" style="31" hidden="1" customWidth="1"/>
    <col min="4105" max="4105" width="7.42578125" style="31" customWidth="1"/>
    <col min="4106" max="4106" width="8.42578125" style="31" customWidth="1"/>
    <col min="4107" max="4107" width="10.85546875" style="31" customWidth="1"/>
    <col min="4108" max="4108" width="14.28515625" style="31" customWidth="1"/>
    <col min="4109" max="4109" width="13.28515625" style="31" customWidth="1"/>
    <col min="4110" max="4110" width="15" style="31" customWidth="1"/>
    <col min="4111" max="4111" width="11.140625" style="31" customWidth="1"/>
    <col min="4112" max="4353" width="9.140625" style="31"/>
    <col min="4354" max="4354" width="5" style="31" customWidth="1"/>
    <col min="4355" max="4355" width="34.5703125" style="31" customWidth="1"/>
    <col min="4356" max="4356" width="10.5703125" style="31" customWidth="1"/>
    <col min="4357" max="4358" width="5.5703125" style="31" customWidth="1"/>
    <col min="4359" max="4359" width="7.42578125" style="31" customWidth="1"/>
    <col min="4360" max="4360" width="0" style="31" hidden="1" customWidth="1"/>
    <col min="4361" max="4361" width="7.42578125" style="31" customWidth="1"/>
    <col min="4362" max="4362" width="8.42578125" style="31" customWidth="1"/>
    <col min="4363" max="4363" width="10.85546875" style="31" customWidth="1"/>
    <col min="4364" max="4364" width="14.28515625" style="31" customWidth="1"/>
    <col min="4365" max="4365" width="13.28515625" style="31" customWidth="1"/>
    <col min="4366" max="4366" width="15" style="31" customWidth="1"/>
    <col min="4367" max="4367" width="11.140625" style="31" customWidth="1"/>
    <col min="4368" max="4609" width="9.140625" style="31"/>
    <col min="4610" max="4610" width="5" style="31" customWidth="1"/>
    <col min="4611" max="4611" width="34.5703125" style="31" customWidth="1"/>
    <col min="4612" max="4612" width="10.5703125" style="31" customWidth="1"/>
    <col min="4613" max="4614" width="5.5703125" style="31" customWidth="1"/>
    <col min="4615" max="4615" width="7.42578125" style="31" customWidth="1"/>
    <col min="4616" max="4616" width="0" style="31" hidden="1" customWidth="1"/>
    <col min="4617" max="4617" width="7.42578125" style="31" customWidth="1"/>
    <col min="4618" max="4618" width="8.42578125" style="31" customWidth="1"/>
    <col min="4619" max="4619" width="10.85546875" style="31" customWidth="1"/>
    <col min="4620" max="4620" width="14.28515625" style="31" customWidth="1"/>
    <col min="4621" max="4621" width="13.28515625" style="31" customWidth="1"/>
    <col min="4622" max="4622" width="15" style="31" customWidth="1"/>
    <col min="4623" max="4623" width="11.140625" style="31" customWidth="1"/>
    <col min="4624" max="4865" width="9.140625" style="31"/>
    <col min="4866" max="4866" width="5" style="31" customWidth="1"/>
    <col min="4867" max="4867" width="34.5703125" style="31" customWidth="1"/>
    <col min="4868" max="4868" width="10.5703125" style="31" customWidth="1"/>
    <col min="4869" max="4870" width="5.5703125" style="31" customWidth="1"/>
    <col min="4871" max="4871" width="7.42578125" style="31" customWidth="1"/>
    <col min="4872" max="4872" width="0" style="31" hidden="1" customWidth="1"/>
    <col min="4873" max="4873" width="7.42578125" style="31" customWidth="1"/>
    <col min="4874" max="4874" width="8.42578125" style="31" customWidth="1"/>
    <col min="4875" max="4875" width="10.85546875" style="31" customWidth="1"/>
    <col min="4876" max="4876" width="14.28515625" style="31" customWidth="1"/>
    <col min="4877" max="4877" width="13.28515625" style="31" customWidth="1"/>
    <col min="4878" max="4878" width="15" style="31" customWidth="1"/>
    <col min="4879" max="4879" width="11.140625" style="31" customWidth="1"/>
    <col min="4880" max="5121" width="9.140625" style="31"/>
    <col min="5122" max="5122" width="5" style="31" customWidth="1"/>
    <col min="5123" max="5123" width="34.5703125" style="31" customWidth="1"/>
    <col min="5124" max="5124" width="10.5703125" style="31" customWidth="1"/>
    <col min="5125" max="5126" width="5.5703125" style="31" customWidth="1"/>
    <col min="5127" max="5127" width="7.42578125" style="31" customWidth="1"/>
    <col min="5128" max="5128" width="0" style="31" hidden="1" customWidth="1"/>
    <col min="5129" max="5129" width="7.42578125" style="31" customWidth="1"/>
    <col min="5130" max="5130" width="8.42578125" style="31" customWidth="1"/>
    <col min="5131" max="5131" width="10.85546875" style="31" customWidth="1"/>
    <col min="5132" max="5132" width="14.28515625" style="31" customWidth="1"/>
    <col min="5133" max="5133" width="13.28515625" style="31" customWidth="1"/>
    <col min="5134" max="5134" width="15" style="31" customWidth="1"/>
    <col min="5135" max="5135" width="11.140625" style="31" customWidth="1"/>
    <col min="5136" max="5377" width="9.140625" style="31"/>
    <col min="5378" max="5378" width="5" style="31" customWidth="1"/>
    <col min="5379" max="5379" width="34.5703125" style="31" customWidth="1"/>
    <col min="5380" max="5380" width="10.5703125" style="31" customWidth="1"/>
    <col min="5381" max="5382" width="5.5703125" style="31" customWidth="1"/>
    <col min="5383" max="5383" width="7.42578125" style="31" customWidth="1"/>
    <col min="5384" max="5384" width="0" style="31" hidden="1" customWidth="1"/>
    <col min="5385" max="5385" width="7.42578125" style="31" customWidth="1"/>
    <col min="5386" max="5386" width="8.42578125" style="31" customWidth="1"/>
    <col min="5387" max="5387" width="10.85546875" style="31" customWidth="1"/>
    <col min="5388" max="5388" width="14.28515625" style="31" customWidth="1"/>
    <col min="5389" max="5389" width="13.28515625" style="31" customWidth="1"/>
    <col min="5390" max="5390" width="15" style="31" customWidth="1"/>
    <col min="5391" max="5391" width="11.140625" style="31" customWidth="1"/>
    <col min="5392" max="5633" width="9.140625" style="31"/>
    <col min="5634" max="5634" width="5" style="31" customWidth="1"/>
    <col min="5635" max="5635" width="34.5703125" style="31" customWidth="1"/>
    <col min="5636" max="5636" width="10.5703125" style="31" customWidth="1"/>
    <col min="5637" max="5638" width="5.5703125" style="31" customWidth="1"/>
    <col min="5639" max="5639" width="7.42578125" style="31" customWidth="1"/>
    <col min="5640" max="5640" width="0" style="31" hidden="1" customWidth="1"/>
    <col min="5641" max="5641" width="7.42578125" style="31" customWidth="1"/>
    <col min="5642" max="5642" width="8.42578125" style="31" customWidth="1"/>
    <col min="5643" max="5643" width="10.85546875" style="31" customWidth="1"/>
    <col min="5644" max="5644" width="14.28515625" style="31" customWidth="1"/>
    <col min="5645" max="5645" width="13.28515625" style="31" customWidth="1"/>
    <col min="5646" max="5646" width="15" style="31" customWidth="1"/>
    <col min="5647" max="5647" width="11.140625" style="31" customWidth="1"/>
    <col min="5648" max="5889" width="9.140625" style="31"/>
    <col min="5890" max="5890" width="5" style="31" customWidth="1"/>
    <col min="5891" max="5891" width="34.5703125" style="31" customWidth="1"/>
    <col min="5892" max="5892" width="10.5703125" style="31" customWidth="1"/>
    <col min="5893" max="5894" width="5.5703125" style="31" customWidth="1"/>
    <col min="5895" max="5895" width="7.42578125" style="31" customWidth="1"/>
    <col min="5896" max="5896" width="0" style="31" hidden="1" customWidth="1"/>
    <col min="5897" max="5897" width="7.42578125" style="31" customWidth="1"/>
    <col min="5898" max="5898" width="8.42578125" style="31" customWidth="1"/>
    <col min="5899" max="5899" width="10.85546875" style="31" customWidth="1"/>
    <col min="5900" max="5900" width="14.28515625" style="31" customWidth="1"/>
    <col min="5901" max="5901" width="13.28515625" style="31" customWidth="1"/>
    <col min="5902" max="5902" width="15" style="31" customWidth="1"/>
    <col min="5903" max="5903" width="11.140625" style="31" customWidth="1"/>
    <col min="5904" max="6145" width="9.140625" style="31"/>
    <col min="6146" max="6146" width="5" style="31" customWidth="1"/>
    <col min="6147" max="6147" width="34.5703125" style="31" customWidth="1"/>
    <col min="6148" max="6148" width="10.5703125" style="31" customWidth="1"/>
    <col min="6149" max="6150" width="5.5703125" style="31" customWidth="1"/>
    <col min="6151" max="6151" width="7.42578125" style="31" customWidth="1"/>
    <col min="6152" max="6152" width="0" style="31" hidden="1" customWidth="1"/>
    <col min="6153" max="6153" width="7.42578125" style="31" customWidth="1"/>
    <col min="6154" max="6154" width="8.42578125" style="31" customWidth="1"/>
    <col min="6155" max="6155" width="10.85546875" style="31" customWidth="1"/>
    <col min="6156" max="6156" width="14.28515625" style="31" customWidth="1"/>
    <col min="6157" max="6157" width="13.28515625" style="31" customWidth="1"/>
    <col min="6158" max="6158" width="15" style="31" customWidth="1"/>
    <col min="6159" max="6159" width="11.140625" style="31" customWidth="1"/>
    <col min="6160" max="6401" width="9.140625" style="31"/>
    <col min="6402" max="6402" width="5" style="31" customWidth="1"/>
    <col min="6403" max="6403" width="34.5703125" style="31" customWidth="1"/>
    <col min="6404" max="6404" width="10.5703125" style="31" customWidth="1"/>
    <col min="6405" max="6406" width="5.5703125" style="31" customWidth="1"/>
    <col min="6407" max="6407" width="7.42578125" style="31" customWidth="1"/>
    <col min="6408" max="6408" width="0" style="31" hidden="1" customWidth="1"/>
    <col min="6409" max="6409" width="7.42578125" style="31" customWidth="1"/>
    <col min="6410" max="6410" width="8.42578125" style="31" customWidth="1"/>
    <col min="6411" max="6411" width="10.85546875" style="31" customWidth="1"/>
    <col min="6412" max="6412" width="14.28515625" style="31" customWidth="1"/>
    <col min="6413" max="6413" width="13.28515625" style="31" customWidth="1"/>
    <col min="6414" max="6414" width="15" style="31" customWidth="1"/>
    <col min="6415" max="6415" width="11.140625" style="31" customWidth="1"/>
    <col min="6416" max="6657" width="9.140625" style="31"/>
    <col min="6658" max="6658" width="5" style="31" customWidth="1"/>
    <col min="6659" max="6659" width="34.5703125" style="31" customWidth="1"/>
    <col min="6660" max="6660" width="10.5703125" style="31" customWidth="1"/>
    <col min="6661" max="6662" width="5.5703125" style="31" customWidth="1"/>
    <col min="6663" max="6663" width="7.42578125" style="31" customWidth="1"/>
    <col min="6664" max="6664" width="0" style="31" hidden="1" customWidth="1"/>
    <col min="6665" max="6665" width="7.42578125" style="31" customWidth="1"/>
    <col min="6666" max="6666" width="8.42578125" style="31" customWidth="1"/>
    <col min="6667" max="6667" width="10.85546875" style="31" customWidth="1"/>
    <col min="6668" max="6668" width="14.28515625" style="31" customWidth="1"/>
    <col min="6669" max="6669" width="13.28515625" style="31" customWidth="1"/>
    <col min="6670" max="6670" width="15" style="31" customWidth="1"/>
    <col min="6671" max="6671" width="11.140625" style="31" customWidth="1"/>
    <col min="6672" max="6913" width="9.140625" style="31"/>
    <col min="6914" max="6914" width="5" style="31" customWidth="1"/>
    <col min="6915" max="6915" width="34.5703125" style="31" customWidth="1"/>
    <col min="6916" max="6916" width="10.5703125" style="31" customWidth="1"/>
    <col min="6917" max="6918" width="5.5703125" style="31" customWidth="1"/>
    <col min="6919" max="6919" width="7.42578125" style="31" customWidth="1"/>
    <col min="6920" max="6920" width="0" style="31" hidden="1" customWidth="1"/>
    <col min="6921" max="6921" width="7.42578125" style="31" customWidth="1"/>
    <col min="6922" max="6922" width="8.42578125" style="31" customWidth="1"/>
    <col min="6923" max="6923" width="10.85546875" style="31" customWidth="1"/>
    <col min="6924" max="6924" width="14.28515625" style="31" customWidth="1"/>
    <col min="6925" max="6925" width="13.28515625" style="31" customWidth="1"/>
    <col min="6926" max="6926" width="15" style="31" customWidth="1"/>
    <col min="6927" max="6927" width="11.140625" style="31" customWidth="1"/>
    <col min="6928" max="7169" width="9.140625" style="31"/>
    <col min="7170" max="7170" width="5" style="31" customWidth="1"/>
    <col min="7171" max="7171" width="34.5703125" style="31" customWidth="1"/>
    <col min="7172" max="7172" width="10.5703125" style="31" customWidth="1"/>
    <col min="7173" max="7174" width="5.5703125" style="31" customWidth="1"/>
    <col min="7175" max="7175" width="7.42578125" style="31" customWidth="1"/>
    <col min="7176" max="7176" width="0" style="31" hidden="1" customWidth="1"/>
    <col min="7177" max="7177" width="7.42578125" style="31" customWidth="1"/>
    <col min="7178" max="7178" width="8.42578125" style="31" customWidth="1"/>
    <col min="7179" max="7179" width="10.85546875" style="31" customWidth="1"/>
    <col min="7180" max="7180" width="14.28515625" style="31" customWidth="1"/>
    <col min="7181" max="7181" width="13.28515625" style="31" customWidth="1"/>
    <col min="7182" max="7182" width="15" style="31" customWidth="1"/>
    <col min="7183" max="7183" width="11.140625" style="31" customWidth="1"/>
    <col min="7184" max="7425" width="9.140625" style="31"/>
    <col min="7426" max="7426" width="5" style="31" customWidth="1"/>
    <col min="7427" max="7427" width="34.5703125" style="31" customWidth="1"/>
    <col min="7428" max="7428" width="10.5703125" style="31" customWidth="1"/>
    <col min="7429" max="7430" width="5.5703125" style="31" customWidth="1"/>
    <col min="7431" max="7431" width="7.42578125" style="31" customWidth="1"/>
    <col min="7432" max="7432" width="0" style="31" hidden="1" customWidth="1"/>
    <col min="7433" max="7433" width="7.42578125" style="31" customWidth="1"/>
    <col min="7434" max="7434" width="8.42578125" style="31" customWidth="1"/>
    <col min="7435" max="7435" width="10.85546875" style="31" customWidth="1"/>
    <col min="7436" max="7436" width="14.28515625" style="31" customWidth="1"/>
    <col min="7437" max="7437" width="13.28515625" style="31" customWidth="1"/>
    <col min="7438" max="7438" width="15" style="31" customWidth="1"/>
    <col min="7439" max="7439" width="11.140625" style="31" customWidth="1"/>
    <col min="7440" max="7681" width="9.140625" style="31"/>
    <col min="7682" max="7682" width="5" style="31" customWidth="1"/>
    <col min="7683" max="7683" width="34.5703125" style="31" customWidth="1"/>
    <col min="7684" max="7684" width="10.5703125" style="31" customWidth="1"/>
    <col min="7685" max="7686" width="5.5703125" style="31" customWidth="1"/>
    <col min="7687" max="7687" width="7.42578125" style="31" customWidth="1"/>
    <col min="7688" max="7688" width="0" style="31" hidden="1" customWidth="1"/>
    <col min="7689" max="7689" width="7.42578125" style="31" customWidth="1"/>
    <col min="7690" max="7690" width="8.42578125" style="31" customWidth="1"/>
    <col min="7691" max="7691" width="10.85546875" style="31" customWidth="1"/>
    <col min="7692" max="7692" width="14.28515625" style="31" customWidth="1"/>
    <col min="7693" max="7693" width="13.28515625" style="31" customWidth="1"/>
    <col min="7694" max="7694" width="15" style="31" customWidth="1"/>
    <col min="7695" max="7695" width="11.140625" style="31" customWidth="1"/>
    <col min="7696" max="7937" width="9.140625" style="31"/>
    <col min="7938" max="7938" width="5" style="31" customWidth="1"/>
    <col min="7939" max="7939" width="34.5703125" style="31" customWidth="1"/>
    <col min="7940" max="7940" width="10.5703125" style="31" customWidth="1"/>
    <col min="7941" max="7942" width="5.5703125" style="31" customWidth="1"/>
    <col min="7943" max="7943" width="7.42578125" style="31" customWidth="1"/>
    <col min="7944" max="7944" width="0" style="31" hidden="1" customWidth="1"/>
    <col min="7945" max="7945" width="7.42578125" style="31" customWidth="1"/>
    <col min="7946" max="7946" width="8.42578125" style="31" customWidth="1"/>
    <col min="7947" max="7947" width="10.85546875" style="31" customWidth="1"/>
    <col min="7948" max="7948" width="14.28515625" style="31" customWidth="1"/>
    <col min="7949" max="7949" width="13.28515625" style="31" customWidth="1"/>
    <col min="7950" max="7950" width="15" style="31" customWidth="1"/>
    <col min="7951" max="7951" width="11.140625" style="31" customWidth="1"/>
    <col min="7952" max="8193" width="9.140625" style="31"/>
    <col min="8194" max="8194" width="5" style="31" customWidth="1"/>
    <col min="8195" max="8195" width="34.5703125" style="31" customWidth="1"/>
    <col min="8196" max="8196" width="10.5703125" style="31" customWidth="1"/>
    <col min="8197" max="8198" width="5.5703125" style="31" customWidth="1"/>
    <col min="8199" max="8199" width="7.42578125" style="31" customWidth="1"/>
    <col min="8200" max="8200" width="0" style="31" hidden="1" customWidth="1"/>
    <col min="8201" max="8201" width="7.42578125" style="31" customWidth="1"/>
    <col min="8202" max="8202" width="8.42578125" style="31" customWidth="1"/>
    <col min="8203" max="8203" width="10.85546875" style="31" customWidth="1"/>
    <col min="8204" max="8204" width="14.28515625" style="31" customWidth="1"/>
    <col min="8205" max="8205" width="13.28515625" style="31" customWidth="1"/>
    <col min="8206" max="8206" width="15" style="31" customWidth="1"/>
    <col min="8207" max="8207" width="11.140625" style="31" customWidth="1"/>
    <col min="8208" max="8449" width="9.140625" style="31"/>
    <col min="8450" max="8450" width="5" style="31" customWidth="1"/>
    <col min="8451" max="8451" width="34.5703125" style="31" customWidth="1"/>
    <col min="8452" max="8452" width="10.5703125" style="31" customWidth="1"/>
    <col min="8453" max="8454" width="5.5703125" style="31" customWidth="1"/>
    <col min="8455" max="8455" width="7.42578125" style="31" customWidth="1"/>
    <col min="8456" max="8456" width="0" style="31" hidden="1" customWidth="1"/>
    <col min="8457" max="8457" width="7.42578125" style="31" customWidth="1"/>
    <col min="8458" max="8458" width="8.42578125" style="31" customWidth="1"/>
    <col min="8459" max="8459" width="10.85546875" style="31" customWidth="1"/>
    <col min="8460" max="8460" width="14.28515625" style="31" customWidth="1"/>
    <col min="8461" max="8461" width="13.28515625" style="31" customWidth="1"/>
    <col min="8462" max="8462" width="15" style="31" customWidth="1"/>
    <col min="8463" max="8463" width="11.140625" style="31" customWidth="1"/>
    <col min="8464" max="8705" width="9.140625" style="31"/>
    <col min="8706" max="8706" width="5" style="31" customWidth="1"/>
    <col min="8707" max="8707" width="34.5703125" style="31" customWidth="1"/>
    <col min="8708" max="8708" width="10.5703125" style="31" customWidth="1"/>
    <col min="8709" max="8710" width="5.5703125" style="31" customWidth="1"/>
    <col min="8711" max="8711" width="7.42578125" style="31" customWidth="1"/>
    <col min="8712" max="8712" width="0" style="31" hidden="1" customWidth="1"/>
    <col min="8713" max="8713" width="7.42578125" style="31" customWidth="1"/>
    <col min="8714" max="8714" width="8.42578125" style="31" customWidth="1"/>
    <col min="8715" max="8715" width="10.85546875" style="31" customWidth="1"/>
    <col min="8716" max="8716" width="14.28515625" style="31" customWidth="1"/>
    <col min="8717" max="8717" width="13.28515625" style="31" customWidth="1"/>
    <col min="8718" max="8718" width="15" style="31" customWidth="1"/>
    <col min="8719" max="8719" width="11.140625" style="31" customWidth="1"/>
    <col min="8720" max="8961" width="9.140625" style="31"/>
    <col min="8962" max="8962" width="5" style="31" customWidth="1"/>
    <col min="8963" max="8963" width="34.5703125" style="31" customWidth="1"/>
    <col min="8964" max="8964" width="10.5703125" style="31" customWidth="1"/>
    <col min="8965" max="8966" width="5.5703125" style="31" customWidth="1"/>
    <col min="8967" max="8967" width="7.42578125" style="31" customWidth="1"/>
    <col min="8968" max="8968" width="0" style="31" hidden="1" customWidth="1"/>
    <col min="8969" max="8969" width="7.42578125" style="31" customWidth="1"/>
    <col min="8970" max="8970" width="8.42578125" style="31" customWidth="1"/>
    <col min="8971" max="8971" width="10.85546875" style="31" customWidth="1"/>
    <col min="8972" max="8972" width="14.28515625" style="31" customWidth="1"/>
    <col min="8973" max="8973" width="13.28515625" style="31" customWidth="1"/>
    <col min="8974" max="8974" width="15" style="31" customWidth="1"/>
    <col min="8975" max="8975" width="11.140625" style="31" customWidth="1"/>
    <col min="8976" max="9217" width="9.140625" style="31"/>
    <col min="9218" max="9218" width="5" style="31" customWidth="1"/>
    <col min="9219" max="9219" width="34.5703125" style="31" customWidth="1"/>
    <col min="9220" max="9220" width="10.5703125" style="31" customWidth="1"/>
    <col min="9221" max="9222" width="5.5703125" style="31" customWidth="1"/>
    <col min="9223" max="9223" width="7.42578125" style="31" customWidth="1"/>
    <col min="9224" max="9224" width="0" style="31" hidden="1" customWidth="1"/>
    <col min="9225" max="9225" width="7.42578125" style="31" customWidth="1"/>
    <col min="9226" max="9226" width="8.42578125" style="31" customWidth="1"/>
    <col min="9227" max="9227" width="10.85546875" style="31" customWidth="1"/>
    <col min="9228" max="9228" width="14.28515625" style="31" customWidth="1"/>
    <col min="9229" max="9229" width="13.28515625" style="31" customWidth="1"/>
    <col min="9230" max="9230" width="15" style="31" customWidth="1"/>
    <col min="9231" max="9231" width="11.140625" style="31" customWidth="1"/>
    <col min="9232" max="9473" width="9.140625" style="31"/>
    <col min="9474" max="9474" width="5" style="31" customWidth="1"/>
    <col min="9475" max="9475" width="34.5703125" style="31" customWidth="1"/>
    <col min="9476" max="9476" width="10.5703125" style="31" customWidth="1"/>
    <col min="9477" max="9478" width="5.5703125" style="31" customWidth="1"/>
    <col min="9479" max="9479" width="7.42578125" style="31" customWidth="1"/>
    <col min="9480" max="9480" width="0" style="31" hidden="1" customWidth="1"/>
    <col min="9481" max="9481" width="7.42578125" style="31" customWidth="1"/>
    <col min="9482" max="9482" width="8.42578125" style="31" customWidth="1"/>
    <col min="9483" max="9483" width="10.85546875" style="31" customWidth="1"/>
    <col min="9484" max="9484" width="14.28515625" style="31" customWidth="1"/>
    <col min="9485" max="9485" width="13.28515625" style="31" customWidth="1"/>
    <col min="9486" max="9486" width="15" style="31" customWidth="1"/>
    <col min="9487" max="9487" width="11.140625" style="31" customWidth="1"/>
    <col min="9488" max="9729" width="9.140625" style="31"/>
    <col min="9730" max="9730" width="5" style="31" customWidth="1"/>
    <col min="9731" max="9731" width="34.5703125" style="31" customWidth="1"/>
    <col min="9732" max="9732" width="10.5703125" style="31" customWidth="1"/>
    <col min="9733" max="9734" width="5.5703125" style="31" customWidth="1"/>
    <col min="9735" max="9735" width="7.42578125" style="31" customWidth="1"/>
    <col min="9736" max="9736" width="0" style="31" hidden="1" customWidth="1"/>
    <col min="9737" max="9737" width="7.42578125" style="31" customWidth="1"/>
    <col min="9738" max="9738" width="8.42578125" style="31" customWidth="1"/>
    <col min="9739" max="9739" width="10.85546875" style="31" customWidth="1"/>
    <col min="9740" max="9740" width="14.28515625" style="31" customWidth="1"/>
    <col min="9741" max="9741" width="13.28515625" style="31" customWidth="1"/>
    <col min="9742" max="9742" width="15" style="31" customWidth="1"/>
    <col min="9743" max="9743" width="11.140625" style="31" customWidth="1"/>
    <col min="9744" max="9985" width="9.140625" style="31"/>
    <col min="9986" max="9986" width="5" style="31" customWidth="1"/>
    <col min="9987" max="9987" width="34.5703125" style="31" customWidth="1"/>
    <col min="9988" max="9988" width="10.5703125" style="31" customWidth="1"/>
    <col min="9989" max="9990" width="5.5703125" style="31" customWidth="1"/>
    <col min="9991" max="9991" width="7.42578125" style="31" customWidth="1"/>
    <col min="9992" max="9992" width="0" style="31" hidden="1" customWidth="1"/>
    <col min="9993" max="9993" width="7.42578125" style="31" customWidth="1"/>
    <col min="9994" max="9994" width="8.42578125" style="31" customWidth="1"/>
    <col min="9995" max="9995" width="10.85546875" style="31" customWidth="1"/>
    <col min="9996" max="9996" width="14.28515625" style="31" customWidth="1"/>
    <col min="9997" max="9997" width="13.28515625" style="31" customWidth="1"/>
    <col min="9998" max="9998" width="15" style="31" customWidth="1"/>
    <col min="9999" max="9999" width="11.140625" style="31" customWidth="1"/>
    <col min="10000" max="10241" width="9.140625" style="31"/>
    <col min="10242" max="10242" width="5" style="31" customWidth="1"/>
    <col min="10243" max="10243" width="34.5703125" style="31" customWidth="1"/>
    <col min="10244" max="10244" width="10.5703125" style="31" customWidth="1"/>
    <col min="10245" max="10246" width="5.5703125" style="31" customWidth="1"/>
    <col min="10247" max="10247" width="7.42578125" style="31" customWidth="1"/>
    <col min="10248" max="10248" width="0" style="31" hidden="1" customWidth="1"/>
    <col min="10249" max="10249" width="7.42578125" style="31" customWidth="1"/>
    <col min="10250" max="10250" width="8.42578125" style="31" customWidth="1"/>
    <col min="10251" max="10251" width="10.85546875" style="31" customWidth="1"/>
    <col min="10252" max="10252" width="14.28515625" style="31" customWidth="1"/>
    <col min="10253" max="10253" width="13.28515625" style="31" customWidth="1"/>
    <col min="10254" max="10254" width="15" style="31" customWidth="1"/>
    <col min="10255" max="10255" width="11.140625" style="31" customWidth="1"/>
    <col min="10256" max="10497" width="9.140625" style="31"/>
    <col min="10498" max="10498" width="5" style="31" customWidth="1"/>
    <col min="10499" max="10499" width="34.5703125" style="31" customWidth="1"/>
    <col min="10500" max="10500" width="10.5703125" style="31" customWidth="1"/>
    <col min="10501" max="10502" width="5.5703125" style="31" customWidth="1"/>
    <col min="10503" max="10503" width="7.42578125" style="31" customWidth="1"/>
    <col min="10504" max="10504" width="0" style="31" hidden="1" customWidth="1"/>
    <col min="10505" max="10505" width="7.42578125" style="31" customWidth="1"/>
    <col min="10506" max="10506" width="8.42578125" style="31" customWidth="1"/>
    <col min="10507" max="10507" width="10.85546875" style="31" customWidth="1"/>
    <col min="10508" max="10508" width="14.28515625" style="31" customWidth="1"/>
    <col min="10509" max="10509" width="13.28515625" style="31" customWidth="1"/>
    <col min="10510" max="10510" width="15" style="31" customWidth="1"/>
    <col min="10511" max="10511" width="11.140625" style="31" customWidth="1"/>
    <col min="10512" max="10753" width="9.140625" style="31"/>
    <col min="10754" max="10754" width="5" style="31" customWidth="1"/>
    <col min="10755" max="10755" width="34.5703125" style="31" customWidth="1"/>
    <col min="10756" max="10756" width="10.5703125" style="31" customWidth="1"/>
    <col min="10757" max="10758" width="5.5703125" style="31" customWidth="1"/>
    <col min="10759" max="10759" width="7.42578125" style="31" customWidth="1"/>
    <col min="10760" max="10760" width="0" style="31" hidden="1" customWidth="1"/>
    <col min="10761" max="10761" width="7.42578125" style="31" customWidth="1"/>
    <col min="10762" max="10762" width="8.42578125" style="31" customWidth="1"/>
    <col min="10763" max="10763" width="10.85546875" style="31" customWidth="1"/>
    <col min="10764" max="10764" width="14.28515625" style="31" customWidth="1"/>
    <col min="10765" max="10765" width="13.28515625" style="31" customWidth="1"/>
    <col min="10766" max="10766" width="15" style="31" customWidth="1"/>
    <col min="10767" max="10767" width="11.140625" style="31" customWidth="1"/>
    <col min="10768" max="11009" width="9.140625" style="31"/>
    <col min="11010" max="11010" width="5" style="31" customWidth="1"/>
    <col min="11011" max="11011" width="34.5703125" style="31" customWidth="1"/>
    <col min="11012" max="11012" width="10.5703125" style="31" customWidth="1"/>
    <col min="11013" max="11014" width="5.5703125" style="31" customWidth="1"/>
    <col min="11015" max="11015" width="7.42578125" style="31" customWidth="1"/>
    <col min="11016" max="11016" width="0" style="31" hidden="1" customWidth="1"/>
    <col min="11017" max="11017" width="7.42578125" style="31" customWidth="1"/>
    <col min="11018" max="11018" width="8.42578125" style="31" customWidth="1"/>
    <col min="11019" max="11019" width="10.85546875" style="31" customWidth="1"/>
    <col min="11020" max="11020" width="14.28515625" style="31" customWidth="1"/>
    <col min="11021" max="11021" width="13.28515625" style="31" customWidth="1"/>
    <col min="11022" max="11022" width="15" style="31" customWidth="1"/>
    <col min="11023" max="11023" width="11.140625" style="31" customWidth="1"/>
    <col min="11024" max="11265" width="9.140625" style="31"/>
    <col min="11266" max="11266" width="5" style="31" customWidth="1"/>
    <col min="11267" max="11267" width="34.5703125" style="31" customWidth="1"/>
    <col min="11268" max="11268" width="10.5703125" style="31" customWidth="1"/>
    <col min="11269" max="11270" width="5.5703125" style="31" customWidth="1"/>
    <col min="11271" max="11271" width="7.42578125" style="31" customWidth="1"/>
    <col min="11272" max="11272" width="0" style="31" hidden="1" customWidth="1"/>
    <col min="11273" max="11273" width="7.42578125" style="31" customWidth="1"/>
    <col min="11274" max="11274" width="8.42578125" style="31" customWidth="1"/>
    <col min="11275" max="11275" width="10.85546875" style="31" customWidth="1"/>
    <col min="11276" max="11276" width="14.28515625" style="31" customWidth="1"/>
    <col min="11277" max="11277" width="13.28515625" style="31" customWidth="1"/>
    <col min="11278" max="11278" width="15" style="31" customWidth="1"/>
    <col min="11279" max="11279" width="11.140625" style="31" customWidth="1"/>
    <col min="11280" max="11521" width="9.140625" style="31"/>
    <col min="11522" max="11522" width="5" style="31" customWidth="1"/>
    <col min="11523" max="11523" width="34.5703125" style="31" customWidth="1"/>
    <col min="11524" max="11524" width="10.5703125" style="31" customWidth="1"/>
    <col min="11525" max="11526" width="5.5703125" style="31" customWidth="1"/>
    <col min="11527" max="11527" width="7.42578125" style="31" customWidth="1"/>
    <col min="11528" max="11528" width="0" style="31" hidden="1" customWidth="1"/>
    <col min="11529" max="11529" width="7.42578125" style="31" customWidth="1"/>
    <col min="11530" max="11530" width="8.42578125" style="31" customWidth="1"/>
    <col min="11531" max="11531" width="10.85546875" style="31" customWidth="1"/>
    <col min="11532" max="11532" width="14.28515625" style="31" customWidth="1"/>
    <col min="11533" max="11533" width="13.28515625" style="31" customWidth="1"/>
    <col min="11534" max="11534" width="15" style="31" customWidth="1"/>
    <col min="11535" max="11535" width="11.140625" style="31" customWidth="1"/>
    <col min="11536" max="11777" width="9.140625" style="31"/>
    <col min="11778" max="11778" width="5" style="31" customWidth="1"/>
    <col min="11779" max="11779" width="34.5703125" style="31" customWidth="1"/>
    <col min="11780" max="11780" width="10.5703125" style="31" customWidth="1"/>
    <col min="11781" max="11782" width="5.5703125" style="31" customWidth="1"/>
    <col min="11783" max="11783" width="7.42578125" style="31" customWidth="1"/>
    <col min="11784" max="11784" width="0" style="31" hidden="1" customWidth="1"/>
    <col min="11785" max="11785" width="7.42578125" style="31" customWidth="1"/>
    <col min="11786" max="11786" width="8.42578125" style="31" customWidth="1"/>
    <col min="11787" max="11787" width="10.85546875" style="31" customWidth="1"/>
    <col min="11788" max="11788" width="14.28515625" style="31" customWidth="1"/>
    <col min="11789" max="11789" width="13.28515625" style="31" customWidth="1"/>
    <col min="11790" max="11790" width="15" style="31" customWidth="1"/>
    <col min="11791" max="11791" width="11.140625" style="31" customWidth="1"/>
    <col min="11792" max="12033" width="9.140625" style="31"/>
    <col min="12034" max="12034" width="5" style="31" customWidth="1"/>
    <col min="12035" max="12035" width="34.5703125" style="31" customWidth="1"/>
    <col min="12036" max="12036" width="10.5703125" style="31" customWidth="1"/>
    <col min="12037" max="12038" width="5.5703125" style="31" customWidth="1"/>
    <col min="12039" max="12039" width="7.42578125" style="31" customWidth="1"/>
    <col min="12040" max="12040" width="0" style="31" hidden="1" customWidth="1"/>
    <col min="12041" max="12041" width="7.42578125" style="31" customWidth="1"/>
    <col min="12042" max="12042" width="8.42578125" style="31" customWidth="1"/>
    <col min="12043" max="12043" width="10.85546875" style="31" customWidth="1"/>
    <col min="12044" max="12044" width="14.28515625" style="31" customWidth="1"/>
    <col min="12045" max="12045" width="13.28515625" style="31" customWidth="1"/>
    <col min="12046" max="12046" width="15" style="31" customWidth="1"/>
    <col min="12047" max="12047" width="11.140625" style="31" customWidth="1"/>
    <col min="12048" max="12289" width="9.140625" style="31"/>
    <col min="12290" max="12290" width="5" style="31" customWidth="1"/>
    <col min="12291" max="12291" width="34.5703125" style="31" customWidth="1"/>
    <col min="12292" max="12292" width="10.5703125" style="31" customWidth="1"/>
    <col min="12293" max="12294" width="5.5703125" style="31" customWidth="1"/>
    <col min="12295" max="12295" width="7.42578125" style="31" customWidth="1"/>
    <col min="12296" max="12296" width="0" style="31" hidden="1" customWidth="1"/>
    <col min="12297" max="12297" width="7.42578125" style="31" customWidth="1"/>
    <col min="12298" max="12298" width="8.42578125" style="31" customWidth="1"/>
    <col min="12299" max="12299" width="10.85546875" style="31" customWidth="1"/>
    <col min="12300" max="12300" width="14.28515625" style="31" customWidth="1"/>
    <col min="12301" max="12301" width="13.28515625" style="31" customWidth="1"/>
    <col min="12302" max="12302" width="15" style="31" customWidth="1"/>
    <col min="12303" max="12303" width="11.140625" style="31" customWidth="1"/>
    <col min="12304" max="12545" width="9.140625" style="31"/>
    <col min="12546" max="12546" width="5" style="31" customWidth="1"/>
    <col min="12547" max="12547" width="34.5703125" style="31" customWidth="1"/>
    <col min="12548" max="12548" width="10.5703125" style="31" customWidth="1"/>
    <col min="12549" max="12550" width="5.5703125" style="31" customWidth="1"/>
    <col min="12551" max="12551" width="7.42578125" style="31" customWidth="1"/>
    <col min="12552" max="12552" width="0" style="31" hidden="1" customWidth="1"/>
    <col min="12553" max="12553" width="7.42578125" style="31" customWidth="1"/>
    <col min="12554" max="12554" width="8.42578125" style="31" customWidth="1"/>
    <col min="12555" max="12555" width="10.85546875" style="31" customWidth="1"/>
    <col min="12556" max="12556" width="14.28515625" style="31" customWidth="1"/>
    <col min="12557" max="12557" width="13.28515625" style="31" customWidth="1"/>
    <col min="12558" max="12558" width="15" style="31" customWidth="1"/>
    <col min="12559" max="12559" width="11.140625" style="31" customWidth="1"/>
    <col min="12560" max="12801" width="9.140625" style="31"/>
    <col min="12802" max="12802" width="5" style="31" customWidth="1"/>
    <col min="12803" max="12803" width="34.5703125" style="31" customWidth="1"/>
    <col min="12804" max="12804" width="10.5703125" style="31" customWidth="1"/>
    <col min="12805" max="12806" width="5.5703125" style="31" customWidth="1"/>
    <col min="12807" max="12807" width="7.42578125" style="31" customWidth="1"/>
    <col min="12808" max="12808" width="0" style="31" hidden="1" customWidth="1"/>
    <col min="12809" max="12809" width="7.42578125" style="31" customWidth="1"/>
    <col min="12810" max="12810" width="8.42578125" style="31" customWidth="1"/>
    <col min="12811" max="12811" width="10.85546875" style="31" customWidth="1"/>
    <col min="12812" max="12812" width="14.28515625" style="31" customWidth="1"/>
    <col min="12813" max="12813" width="13.28515625" style="31" customWidth="1"/>
    <col min="12814" max="12814" width="15" style="31" customWidth="1"/>
    <col min="12815" max="12815" width="11.140625" style="31" customWidth="1"/>
    <col min="12816" max="13057" width="9.140625" style="31"/>
    <col min="13058" max="13058" width="5" style="31" customWidth="1"/>
    <col min="13059" max="13059" width="34.5703125" style="31" customWidth="1"/>
    <col min="13060" max="13060" width="10.5703125" style="31" customWidth="1"/>
    <col min="13061" max="13062" width="5.5703125" style="31" customWidth="1"/>
    <col min="13063" max="13063" width="7.42578125" style="31" customWidth="1"/>
    <col min="13064" max="13064" width="0" style="31" hidden="1" customWidth="1"/>
    <col min="13065" max="13065" width="7.42578125" style="31" customWidth="1"/>
    <col min="13066" max="13066" width="8.42578125" style="31" customWidth="1"/>
    <col min="13067" max="13067" width="10.85546875" style="31" customWidth="1"/>
    <col min="13068" max="13068" width="14.28515625" style="31" customWidth="1"/>
    <col min="13069" max="13069" width="13.28515625" style="31" customWidth="1"/>
    <col min="13070" max="13070" width="15" style="31" customWidth="1"/>
    <col min="13071" max="13071" width="11.140625" style="31" customWidth="1"/>
    <col min="13072" max="13313" width="9.140625" style="31"/>
    <col min="13314" max="13314" width="5" style="31" customWidth="1"/>
    <col min="13315" max="13315" width="34.5703125" style="31" customWidth="1"/>
    <col min="13316" max="13316" width="10.5703125" style="31" customWidth="1"/>
    <col min="13317" max="13318" width="5.5703125" style="31" customWidth="1"/>
    <col min="13319" max="13319" width="7.42578125" style="31" customWidth="1"/>
    <col min="13320" max="13320" width="0" style="31" hidden="1" customWidth="1"/>
    <col min="13321" max="13321" width="7.42578125" style="31" customWidth="1"/>
    <col min="13322" max="13322" width="8.42578125" style="31" customWidth="1"/>
    <col min="13323" max="13323" width="10.85546875" style="31" customWidth="1"/>
    <col min="13324" max="13324" width="14.28515625" style="31" customWidth="1"/>
    <col min="13325" max="13325" width="13.28515625" style="31" customWidth="1"/>
    <col min="13326" max="13326" width="15" style="31" customWidth="1"/>
    <col min="13327" max="13327" width="11.140625" style="31" customWidth="1"/>
    <col min="13328" max="13569" width="9.140625" style="31"/>
    <col min="13570" max="13570" width="5" style="31" customWidth="1"/>
    <col min="13571" max="13571" width="34.5703125" style="31" customWidth="1"/>
    <col min="13572" max="13572" width="10.5703125" style="31" customWidth="1"/>
    <col min="13573" max="13574" width="5.5703125" style="31" customWidth="1"/>
    <col min="13575" max="13575" width="7.42578125" style="31" customWidth="1"/>
    <col min="13576" max="13576" width="0" style="31" hidden="1" customWidth="1"/>
    <col min="13577" max="13577" width="7.42578125" style="31" customWidth="1"/>
    <col min="13578" max="13578" width="8.42578125" style="31" customWidth="1"/>
    <col min="13579" max="13579" width="10.85546875" style="31" customWidth="1"/>
    <col min="13580" max="13580" width="14.28515625" style="31" customWidth="1"/>
    <col min="13581" max="13581" width="13.28515625" style="31" customWidth="1"/>
    <col min="13582" max="13582" width="15" style="31" customWidth="1"/>
    <col min="13583" max="13583" width="11.140625" style="31" customWidth="1"/>
    <col min="13584" max="13825" width="9.140625" style="31"/>
    <col min="13826" max="13826" width="5" style="31" customWidth="1"/>
    <col min="13827" max="13827" width="34.5703125" style="31" customWidth="1"/>
    <col min="13828" max="13828" width="10.5703125" style="31" customWidth="1"/>
    <col min="13829" max="13830" width="5.5703125" style="31" customWidth="1"/>
    <col min="13831" max="13831" width="7.42578125" style="31" customWidth="1"/>
    <col min="13832" max="13832" width="0" style="31" hidden="1" customWidth="1"/>
    <col min="13833" max="13833" width="7.42578125" style="31" customWidth="1"/>
    <col min="13834" max="13834" width="8.42578125" style="31" customWidth="1"/>
    <col min="13835" max="13835" width="10.85546875" style="31" customWidth="1"/>
    <col min="13836" max="13836" width="14.28515625" style="31" customWidth="1"/>
    <col min="13837" max="13837" width="13.28515625" style="31" customWidth="1"/>
    <col min="13838" max="13838" width="15" style="31" customWidth="1"/>
    <col min="13839" max="13839" width="11.140625" style="31" customWidth="1"/>
    <col min="13840" max="14081" width="9.140625" style="31"/>
    <col min="14082" max="14082" width="5" style="31" customWidth="1"/>
    <col min="14083" max="14083" width="34.5703125" style="31" customWidth="1"/>
    <col min="14084" max="14084" width="10.5703125" style="31" customWidth="1"/>
    <col min="14085" max="14086" width="5.5703125" style="31" customWidth="1"/>
    <col min="14087" max="14087" width="7.42578125" style="31" customWidth="1"/>
    <col min="14088" max="14088" width="0" style="31" hidden="1" customWidth="1"/>
    <col min="14089" max="14089" width="7.42578125" style="31" customWidth="1"/>
    <col min="14090" max="14090" width="8.42578125" style="31" customWidth="1"/>
    <col min="14091" max="14091" width="10.85546875" style="31" customWidth="1"/>
    <col min="14092" max="14092" width="14.28515625" style="31" customWidth="1"/>
    <col min="14093" max="14093" width="13.28515625" style="31" customWidth="1"/>
    <col min="14094" max="14094" width="15" style="31" customWidth="1"/>
    <col min="14095" max="14095" width="11.140625" style="31" customWidth="1"/>
    <col min="14096" max="14337" width="9.140625" style="31"/>
    <col min="14338" max="14338" width="5" style="31" customWidth="1"/>
    <col min="14339" max="14339" width="34.5703125" style="31" customWidth="1"/>
    <col min="14340" max="14340" width="10.5703125" style="31" customWidth="1"/>
    <col min="14341" max="14342" width="5.5703125" style="31" customWidth="1"/>
    <col min="14343" max="14343" width="7.42578125" style="31" customWidth="1"/>
    <col min="14344" max="14344" width="0" style="31" hidden="1" customWidth="1"/>
    <col min="14345" max="14345" width="7.42578125" style="31" customWidth="1"/>
    <col min="14346" max="14346" width="8.42578125" style="31" customWidth="1"/>
    <col min="14347" max="14347" width="10.85546875" style="31" customWidth="1"/>
    <col min="14348" max="14348" width="14.28515625" style="31" customWidth="1"/>
    <col min="14349" max="14349" width="13.28515625" style="31" customWidth="1"/>
    <col min="14350" max="14350" width="15" style="31" customWidth="1"/>
    <col min="14351" max="14351" width="11.140625" style="31" customWidth="1"/>
    <col min="14352" max="14593" width="9.140625" style="31"/>
    <col min="14594" max="14594" width="5" style="31" customWidth="1"/>
    <col min="14595" max="14595" width="34.5703125" style="31" customWidth="1"/>
    <col min="14596" max="14596" width="10.5703125" style="31" customWidth="1"/>
    <col min="14597" max="14598" width="5.5703125" style="31" customWidth="1"/>
    <col min="14599" max="14599" width="7.42578125" style="31" customWidth="1"/>
    <col min="14600" max="14600" width="0" style="31" hidden="1" customWidth="1"/>
    <col min="14601" max="14601" width="7.42578125" style="31" customWidth="1"/>
    <col min="14602" max="14602" width="8.42578125" style="31" customWidth="1"/>
    <col min="14603" max="14603" width="10.85546875" style="31" customWidth="1"/>
    <col min="14604" max="14604" width="14.28515625" style="31" customWidth="1"/>
    <col min="14605" max="14605" width="13.28515625" style="31" customWidth="1"/>
    <col min="14606" max="14606" width="15" style="31" customWidth="1"/>
    <col min="14607" max="14607" width="11.140625" style="31" customWidth="1"/>
    <col min="14608" max="14849" width="9.140625" style="31"/>
    <col min="14850" max="14850" width="5" style="31" customWidth="1"/>
    <col min="14851" max="14851" width="34.5703125" style="31" customWidth="1"/>
    <col min="14852" max="14852" width="10.5703125" style="31" customWidth="1"/>
    <col min="14853" max="14854" width="5.5703125" style="31" customWidth="1"/>
    <col min="14855" max="14855" width="7.42578125" style="31" customWidth="1"/>
    <col min="14856" max="14856" width="0" style="31" hidden="1" customWidth="1"/>
    <col min="14857" max="14857" width="7.42578125" style="31" customWidth="1"/>
    <col min="14858" max="14858" width="8.42578125" style="31" customWidth="1"/>
    <col min="14859" max="14859" width="10.85546875" style="31" customWidth="1"/>
    <col min="14860" max="14860" width="14.28515625" style="31" customWidth="1"/>
    <col min="14861" max="14861" width="13.28515625" style="31" customWidth="1"/>
    <col min="14862" max="14862" width="15" style="31" customWidth="1"/>
    <col min="14863" max="14863" width="11.140625" style="31" customWidth="1"/>
    <col min="14864" max="15105" width="9.140625" style="31"/>
    <col min="15106" max="15106" width="5" style="31" customWidth="1"/>
    <col min="15107" max="15107" width="34.5703125" style="31" customWidth="1"/>
    <col min="15108" max="15108" width="10.5703125" style="31" customWidth="1"/>
    <col min="15109" max="15110" width="5.5703125" style="31" customWidth="1"/>
    <col min="15111" max="15111" width="7.42578125" style="31" customWidth="1"/>
    <col min="15112" max="15112" width="0" style="31" hidden="1" customWidth="1"/>
    <col min="15113" max="15113" width="7.42578125" style="31" customWidth="1"/>
    <col min="15114" max="15114" width="8.42578125" style="31" customWidth="1"/>
    <col min="15115" max="15115" width="10.85546875" style="31" customWidth="1"/>
    <col min="15116" max="15116" width="14.28515625" style="31" customWidth="1"/>
    <col min="15117" max="15117" width="13.28515625" style="31" customWidth="1"/>
    <col min="15118" max="15118" width="15" style="31" customWidth="1"/>
    <col min="15119" max="15119" width="11.140625" style="31" customWidth="1"/>
    <col min="15120" max="15361" width="9.140625" style="31"/>
    <col min="15362" max="15362" width="5" style="31" customWidth="1"/>
    <col min="15363" max="15363" width="34.5703125" style="31" customWidth="1"/>
    <col min="15364" max="15364" width="10.5703125" style="31" customWidth="1"/>
    <col min="15365" max="15366" width="5.5703125" style="31" customWidth="1"/>
    <col min="15367" max="15367" width="7.42578125" style="31" customWidth="1"/>
    <col min="15368" max="15368" width="0" style="31" hidden="1" customWidth="1"/>
    <col min="15369" max="15369" width="7.42578125" style="31" customWidth="1"/>
    <col min="15370" max="15370" width="8.42578125" style="31" customWidth="1"/>
    <col min="15371" max="15371" width="10.85546875" style="31" customWidth="1"/>
    <col min="15372" max="15372" width="14.28515625" style="31" customWidth="1"/>
    <col min="15373" max="15373" width="13.28515625" style="31" customWidth="1"/>
    <col min="15374" max="15374" width="15" style="31" customWidth="1"/>
    <col min="15375" max="15375" width="11.140625" style="31" customWidth="1"/>
    <col min="15376" max="15617" width="9.140625" style="31"/>
    <col min="15618" max="15618" width="5" style="31" customWidth="1"/>
    <col min="15619" max="15619" width="34.5703125" style="31" customWidth="1"/>
    <col min="15620" max="15620" width="10.5703125" style="31" customWidth="1"/>
    <col min="15621" max="15622" width="5.5703125" style="31" customWidth="1"/>
    <col min="15623" max="15623" width="7.42578125" style="31" customWidth="1"/>
    <col min="15624" max="15624" width="0" style="31" hidden="1" customWidth="1"/>
    <col min="15625" max="15625" width="7.42578125" style="31" customWidth="1"/>
    <col min="15626" max="15626" width="8.42578125" style="31" customWidth="1"/>
    <col min="15627" max="15627" width="10.85546875" style="31" customWidth="1"/>
    <col min="15628" max="15628" width="14.28515625" style="31" customWidth="1"/>
    <col min="15629" max="15629" width="13.28515625" style="31" customWidth="1"/>
    <col min="15630" max="15630" width="15" style="31" customWidth="1"/>
    <col min="15631" max="15631" width="11.140625" style="31" customWidth="1"/>
    <col min="15632" max="15873" width="9.140625" style="31"/>
    <col min="15874" max="15874" width="5" style="31" customWidth="1"/>
    <col min="15875" max="15875" width="34.5703125" style="31" customWidth="1"/>
    <col min="15876" max="15876" width="10.5703125" style="31" customWidth="1"/>
    <col min="15877" max="15878" width="5.5703125" style="31" customWidth="1"/>
    <col min="15879" max="15879" width="7.42578125" style="31" customWidth="1"/>
    <col min="15880" max="15880" width="0" style="31" hidden="1" customWidth="1"/>
    <col min="15881" max="15881" width="7.42578125" style="31" customWidth="1"/>
    <col min="15882" max="15882" width="8.42578125" style="31" customWidth="1"/>
    <col min="15883" max="15883" width="10.85546875" style="31" customWidth="1"/>
    <col min="15884" max="15884" width="14.28515625" style="31" customWidth="1"/>
    <col min="15885" max="15885" width="13.28515625" style="31" customWidth="1"/>
    <col min="15886" max="15886" width="15" style="31" customWidth="1"/>
    <col min="15887" max="15887" width="11.140625" style="31" customWidth="1"/>
    <col min="15888" max="16129" width="9.140625" style="31"/>
    <col min="16130" max="16130" width="5" style="31" customWidth="1"/>
    <col min="16131" max="16131" width="34.5703125" style="31" customWidth="1"/>
    <col min="16132" max="16132" width="10.5703125" style="31" customWidth="1"/>
    <col min="16133" max="16134" width="5.5703125" style="31" customWidth="1"/>
    <col min="16135" max="16135" width="7.42578125" style="31" customWidth="1"/>
    <col min="16136" max="16136" width="0" style="31" hidden="1" customWidth="1"/>
    <col min="16137" max="16137" width="7.42578125" style="31" customWidth="1"/>
    <col min="16138" max="16138" width="8.42578125" style="31" customWidth="1"/>
    <col min="16139" max="16139" width="10.85546875" style="31" customWidth="1"/>
    <col min="16140" max="16140" width="14.28515625" style="31" customWidth="1"/>
    <col min="16141" max="16141" width="13.28515625" style="31" customWidth="1"/>
    <col min="16142" max="16142" width="15" style="31" customWidth="1"/>
    <col min="16143" max="16143" width="11.140625" style="31" customWidth="1"/>
    <col min="16144" max="16384" width="9.140625" style="31"/>
  </cols>
  <sheetData>
    <row r="1" spans="1:15" ht="23.25">
      <c r="A1" s="317" t="s">
        <v>2756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95"/>
    </row>
    <row r="2" spans="1:15" ht="15" thickBot="1">
      <c r="C2" s="32"/>
      <c r="D2" s="32"/>
    </row>
    <row r="3" spans="1:15">
      <c r="A3" s="98" t="s">
        <v>2757</v>
      </c>
      <c r="B3" s="124"/>
      <c r="C3" s="40"/>
      <c r="D3" s="266" t="s">
        <v>2758</v>
      </c>
      <c r="E3" s="267"/>
      <c r="F3" s="267"/>
      <c r="G3" s="267"/>
      <c r="H3" s="267"/>
      <c r="I3" s="267"/>
      <c r="J3" s="268"/>
      <c r="K3" s="266" t="s">
        <v>2759</v>
      </c>
      <c r="L3" s="268"/>
      <c r="M3" s="266" t="s">
        <v>2760</v>
      </c>
      <c r="N3" s="269"/>
      <c r="O3" s="99"/>
    </row>
    <row r="4" spans="1:15">
      <c r="A4" s="41" t="s">
        <v>2808</v>
      </c>
      <c r="B4" s="88"/>
      <c r="C4" s="42"/>
      <c r="D4" s="270" t="s">
        <v>2809</v>
      </c>
      <c r="E4" s="271"/>
      <c r="F4" s="271"/>
      <c r="G4" s="271"/>
      <c r="H4" s="271"/>
      <c r="I4" s="271"/>
      <c r="J4" s="272"/>
      <c r="K4" s="273">
        <v>44300</v>
      </c>
      <c r="L4" s="275"/>
      <c r="M4" s="276">
        <v>1</v>
      </c>
      <c r="N4" s="277"/>
      <c r="O4" s="100"/>
    </row>
    <row r="5" spans="1:15">
      <c r="A5" s="41" t="s">
        <v>2810</v>
      </c>
      <c r="B5" s="88"/>
      <c r="C5" s="42"/>
      <c r="D5" s="278" t="s">
        <v>2764</v>
      </c>
      <c r="E5" s="279"/>
      <c r="F5" s="279"/>
      <c r="G5" s="279"/>
      <c r="H5" s="279"/>
      <c r="I5" s="279"/>
      <c r="J5" s="280"/>
      <c r="K5" s="278" t="s">
        <v>2765</v>
      </c>
      <c r="L5" s="280"/>
      <c r="M5" s="278" t="s">
        <v>2766</v>
      </c>
      <c r="N5" s="281"/>
      <c r="O5" s="101"/>
    </row>
    <row r="6" spans="1:15">
      <c r="A6" s="41" t="s">
        <v>2767</v>
      </c>
      <c r="B6" s="88"/>
      <c r="C6" s="42"/>
      <c r="D6" s="282" t="s">
        <v>2811</v>
      </c>
      <c r="E6" s="283"/>
      <c r="F6" s="283"/>
      <c r="G6" s="283"/>
      <c r="H6" s="283"/>
      <c r="I6" s="283"/>
      <c r="J6" s="284"/>
      <c r="K6" s="288" t="s">
        <v>2812</v>
      </c>
      <c r="L6" s="318"/>
      <c r="M6" s="288"/>
      <c r="N6" s="289"/>
      <c r="O6" s="102"/>
    </row>
    <row r="7" spans="1:15">
      <c r="A7" s="290" t="s">
        <v>2770</v>
      </c>
      <c r="B7" s="291"/>
      <c r="C7" s="291"/>
      <c r="D7" s="292" t="s">
        <v>2771</v>
      </c>
      <c r="E7" s="293"/>
      <c r="F7" s="293"/>
      <c r="G7" s="293"/>
      <c r="H7" s="293"/>
      <c r="I7" s="293"/>
      <c r="J7" s="294"/>
      <c r="K7" s="278" t="s">
        <v>2772</v>
      </c>
      <c r="L7" s="280"/>
      <c r="M7" s="278" t="s">
        <v>2773</v>
      </c>
      <c r="N7" s="281"/>
      <c r="O7" s="99"/>
    </row>
    <row r="8" spans="1:15">
      <c r="A8" s="290"/>
      <c r="B8" s="291"/>
      <c r="C8" s="291"/>
      <c r="D8" s="282" t="s">
        <v>2813</v>
      </c>
      <c r="E8" s="283"/>
      <c r="F8" s="283"/>
      <c r="G8" s="283"/>
      <c r="H8" s="283"/>
      <c r="I8" s="283"/>
      <c r="J8" s="284"/>
      <c r="K8" s="282"/>
      <c r="L8" s="284"/>
      <c r="M8" s="295" t="s">
        <v>2814</v>
      </c>
      <c r="N8" s="296"/>
      <c r="O8" s="99"/>
    </row>
    <row r="9" spans="1:15" ht="15">
      <c r="A9" s="319" t="s">
        <v>2776</v>
      </c>
      <c r="B9" s="322" t="s">
        <v>2802</v>
      </c>
      <c r="C9" s="321" t="s">
        <v>2777</v>
      </c>
      <c r="D9" s="323" t="s">
        <v>2815</v>
      </c>
      <c r="E9" s="323"/>
      <c r="F9" s="323"/>
      <c r="G9" s="321"/>
      <c r="H9" s="321"/>
      <c r="I9" s="321"/>
      <c r="J9" s="321"/>
      <c r="K9" s="321"/>
      <c r="L9" s="324" t="s">
        <v>2780</v>
      </c>
      <c r="M9" s="321" t="s">
        <v>2781</v>
      </c>
      <c r="N9" s="327" t="s">
        <v>2782</v>
      </c>
      <c r="O9" s="103"/>
    </row>
    <row r="10" spans="1:15" ht="15">
      <c r="A10" s="320"/>
      <c r="B10" s="326"/>
      <c r="C10" s="322"/>
      <c r="D10" s="104" t="s">
        <v>2783</v>
      </c>
      <c r="E10" s="104" t="s">
        <v>2784</v>
      </c>
      <c r="F10" s="104" t="s">
        <v>2816</v>
      </c>
      <c r="G10" s="105" t="s">
        <v>2786</v>
      </c>
      <c r="H10" s="105" t="s">
        <v>2817</v>
      </c>
      <c r="I10" s="106" t="s">
        <v>2788</v>
      </c>
      <c r="J10" s="106" t="s">
        <v>2789</v>
      </c>
      <c r="K10" s="107" t="s">
        <v>2818</v>
      </c>
      <c r="L10" s="325"/>
      <c r="M10" s="322"/>
      <c r="N10" s="328"/>
      <c r="O10" s="103"/>
    </row>
    <row r="11" spans="1:15" ht="15">
      <c r="A11" s="108">
        <v>1</v>
      </c>
      <c r="B11" s="112"/>
      <c r="C11" s="329" t="s">
        <v>2819</v>
      </c>
      <c r="D11" s="109">
        <v>10</v>
      </c>
      <c r="E11" s="109">
        <v>10</v>
      </c>
      <c r="F11" s="109">
        <v>9</v>
      </c>
      <c r="G11" s="110">
        <v>5600</v>
      </c>
      <c r="H11" s="111">
        <f>G11*D11*E11/10000</f>
        <v>56</v>
      </c>
      <c r="I11" s="112">
        <f>G11/L11</f>
        <v>8</v>
      </c>
      <c r="J11" s="113">
        <f>G11*F11*E11*D11/1000000</f>
        <v>5.04</v>
      </c>
      <c r="K11" s="113">
        <f>J11*2.65*0.875/27</f>
        <v>0.43283333333333335</v>
      </c>
      <c r="L11" s="174">
        <v>700</v>
      </c>
      <c r="M11" s="121"/>
      <c r="N11" s="331" t="s">
        <v>2820</v>
      </c>
    </row>
    <row r="12" spans="1:15" ht="15">
      <c r="A12" s="108">
        <v>2</v>
      </c>
      <c r="B12" s="112"/>
      <c r="C12" s="330"/>
      <c r="D12" s="109">
        <v>20</v>
      </c>
      <c r="E12" s="109">
        <v>10</v>
      </c>
      <c r="F12" s="109">
        <v>9</v>
      </c>
      <c r="G12" s="110">
        <v>2100</v>
      </c>
      <c r="H12" s="114"/>
      <c r="I12" s="112">
        <f>G12/L12</f>
        <v>7</v>
      </c>
      <c r="J12" s="113">
        <f>G12*F12*E12*D12/1000000</f>
        <v>3.78</v>
      </c>
      <c r="K12" s="113">
        <f>J12*2.65*0.875/27</f>
        <v>0.324625</v>
      </c>
      <c r="L12" s="174">
        <v>300</v>
      </c>
      <c r="M12" s="121"/>
      <c r="N12" s="331"/>
    </row>
    <row r="13" spans="1:15" ht="44.25">
      <c r="A13" s="108">
        <v>3</v>
      </c>
      <c r="B13" s="112"/>
      <c r="C13" s="115" t="s">
        <v>2821</v>
      </c>
      <c r="D13" s="109">
        <v>30</v>
      </c>
      <c r="E13" s="109">
        <v>20</v>
      </c>
      <c r="F13" s="109">
        <v>6</v>
      </c>
      <c r="G13" s="116">
        <v>720</v>
      </c>
      <c r="H13" s="114"/>
      <c r="I13" s="112">
        <f>G13/L13</f>
        <v>6</v>
      </c>
      <c r="J13" s="113">
        <f>G13*F13*E13*D13/1000000</f>
        <v>2.5920000000000001</v>
      </c>
      <c r="K13" s="113">
        <f>J13*2.65/27</f>
        <v>0.25440000000000002</v>
      </c>
      <c r="L13" s="174">
        <v>120</v>
      </c>
      <c r="M13" s="176"/>
      <c r="N13" s="331"/>
    </row>
    <row r="14" spans="1:15" ht="15">
      <c r="A14" s="108"/>
      <c r="B14" s="112"/>
      <c r="C14" s="117" t="s">
        <v>2822</v>
      </c>
      <c r="D14" s="109"/>
      <c r="E14" s="109"/>
      <c r="F14" s="109"/>
      <c r="G14" s="116"/>
      <c r="H14" s="111"/>
      <c r="I14" s="118">
        <f>SUM(I11:I13)</f>
        <v>21</v>
      </c>
      <c r="J14" s="113">
        <f>SUM(J11:J13)</f>
        <v>11.412000000000001</v>
      </c>
      <c r="K14" s="119">
        <f>SUM(K11:K13)</f>
        <v>1.0118583333333333</v>
      </c>
      <c r="L14" s="175"/>
      <c r="M14" s="121"/>
      <c r="N14" s="122"/>
    </row>
    <row r="15" spans="1:15" ht="30">
      <c r="A15" s="108">
        <v>1</v>
      </c>
      <c r="B15" s="126" t="s">
        <v>1936</v>
      </c>
      <c r="C15" s="50" t="str">
        <f>VLOOKUP(B15,'Ma SP'!B3:F521,5,FALSE)</f>
        <v>BAZAN XÁM, Cubic-Chẻ tay tự nhiên KT 10x10x9 SL:700 v/k</v>
      </c>
      <c r="D15" s="51" t="str">
        <f>VLOOKUP(B15,'Ma SP'!B3:L518,6,FALSE)</f>
        <v>10109</v>
      </c>
      <c r="E15" s="51">
        <f>VLOOKUP(B15,'Ma SP'!B3:J518,7,FALSE)</f>
        <v>10</v>
      </c>
      <c r="F15" s="51">
        <f>VLOOKUP(B15,'Ma SP'!B3:K518,8,FALSE)</f>
        <v>10</v>
      </c>
      <c r="G15" s="110">
        <v>5600</v>
      </c>
      <c r="H15" s="111">
        <f>G15*D15*E15/10000</f>
        <v>56610.400000000001</v>
      </c>
      <c r="I15" s="112">
        <f>G15/L15</f>
        <v>8</v>
      </c>
      <c r="J15" s="113">
        <f>G15*F15*E15*D15/1000000</f>
        <v>5661.04</v>
      </c>
      <c r="K15" s="113">
        <f>J15*2.65*0.875/27</f>
        <v>486.16801851851852</v>
      </c>
      <c r="L15" s="174">
        <v>700</v>
      </c>
      <c r="M15" s="121"/>
      <c r="N15" s="331" t="s">
        <v>2820</v>
      </c>
    </row>
    <row r="16" spans="1:15" ht="45" customHeight="1">
      <c r="A16" s="108">
        <v>2</v>
      </c>
      <c r="B16" s="126" t="s">
        <v>1943</v>
      </c>
      <c r="C16" s="50" t="str">
        <f>VLOOKUP(B16,'Ma SP'!B3:F522,5,FALSE)</f>
        <v>BAZAN XÁM, Cubic-Chẻ tay tự nhiên KT 20x10x9 SL:300 v/k</v>
      </c>
      <c r="D16" s="51" t="str">
        <f>VLOOKUP(B16,'Ma SP'!B3:L519,6,FALSE)</f>
        <v>20109</v>
      </c>
      <c r="E16" s="51">
        <f>VLOOKUP(B16,'Ma SP'!B3:J519,7,FALSE)</f>
        <v>20</v>
      </c>
      <c r="F16" s="51">
        <f>VLOOKUP(B16,'Ma SP'!B3:K519,8,FALSE)</f>
        <v>10</v>
      </c>
      <c r="G16" s="110">
        <v>2100</v>
      </c>
      <c r="H16" s="114"/>
      <c r="I16" s="112">
        <f>G16/L16</f>
        <v>7</v>
      </c>
      <c r="J16" s="113">
        <f>G16*F16*E16*D16/1000000</f>
        <v>8445.7800000000007</v>
      </c>
      <c r="K16" s="113">
        <f>J16*2.65*0.875/27</f>
        <v>725.32045833333336</v>
      </c>
      <c r="L16" s="174">
        <v>300</v>
      </c>
      <c r="M16" s="121"/>
      <c r="N16" s="331"/>
    </row>
    <row r="17" spans="1:14" ht="42.75">
      <c r="A17" s="108">
        <v>3</v>
      </c>
      <c r="B17" s="127" t="s">
        <v>2824</v>
      </c>
      <c r="C17" s="50" t="str">
        <f>VLOOKUP(B17,'Ma SP'!B3:F523,5,FALSE)</f>
        <v>BAZAN XÁM, Đá Lát-Chẻ tay tự nhiên KT 30x20x6 SL: 120 v/k</v>
      </c>
      <c r="D17" s="51" t="str">
        <f>VLOOKUP(B17,'Ma SP'!B3:L520,6,FALSE)</f>
        <v>30206</v>
      </c>
      <c r="E17" s="51">
        <f>VLOOKUP(B17,'Ma SP'!B3:J520,7,FALSE)</f>
        <v>30</v>
      </c>
      <c r="F17" s="51">
        <f>VLOOKUP(B17,'Ma SP'!B3:K520,8,FALSE)</f>
        <v>20</v>
      </c>
      <c r="G17" s="116">
        <v>720</v>
      </c>
      <c r="H17" s="114"/>
      <c r="I17" s="112">
        <f>G17/L17</f>
        <v>6</v>
      </c>
      <c r="J17" s="113">
        <f>G17*F17*E17*D17/1000000</f>
        <v>13048.992</v>
      </c>
      <c r="K17" s="113">
        <f>J17*2.65/27</f>
        <v>1280.7344000000001</v>
      </c>
      <c r="L17" s="174">
        <v>120</v>
      </c>
      <c r="M17" s="177" t="s">
        <v>2874</v>
      </c>
      <c r="N17" s="331"/>
    </row>
    <row r="18" spans="1:14" ht="15">
      <c r="A18" s="108"/>
      <c r="B18" s="90"/>
      <c r="C18" s="117" t="s">
        <v>2822</v>
      </c>
      <c r="D18" s="109"/>
      <c r="E18" s="109"/>
      <c r="F18" s="109"/>
      <c r="G18" s="116"/>
      <c r="H18" s="111"/>
      <c r="I18" s="118">
        <f>SUM(I15:I17)</f>
        <v>21</v>
      </c>
      <c r="J18" s="113">
        <f>SUM(J15:J17)</f>
        <v>27155.811999999998</v>
      </c>
      <c r="K18" s="119">
        <f>SUM(K15:K17)</f>
        <v>2492.2228768518517</v>
      </c>
      <c r="L18" s="120"/>
      <c r="M18" s="121"/>
      <c r="N18" s="122"/>
    </row>
    <row r="20" spans="1:14" ht="15">
      <c r="A20" s="75" t="s">
        <v>2823</v>
      </c>
      <c r="B20" s="75"/>
      <c r="M20" s="316" t="s">
        <v>2800</v>
      </c>
      <c r="N20" s="316"/>
    </row>
    <row r="22" spans="1:14" ht="15">
      <c r="A22" s="123"/>
      <c r="B22" s="123"/>
    </row>
    <row r="23" spans="1:14" ht="15">
      <c r="A23" s="123"/>
      <c r="B23" s="123"/>
      <c r="M23" s="316" t="s">
        <v>2801</v>
      </c>
      <c r="N23" s="316"/>
    </row>
  </sheetData>
  <mergeCells count="34">
    <mergeCell ref="N9:N10"/>
    <mergeCell ref="C11:C12"/>
    <mergeCell ref="N11:N13"/>
    <mergeCell ref="M20:N20"/>
    <mergeCell ref="M23:N23"/>
    <mergeCell ref="N15:N17"/>
    <mergeCell ref="M9:M10"/>
    <mergeCell ref="A9:A10"/>
    <mergeCell ref="C9:C10"/>
    <mergeCell ref="D9:F9"/>
    <mergeCell ref="G9:K9"/>
    <mergeCell ref="L9:L10"/>
    <mergeCell ref="B9:B10"/>
    <mergeCell ref="A7:C7"/>
    <mergeCell ref="D7:J7"/>
    <mergeCell ref="K7:L7"/>
    <mergeCell ref="M7:N7"/>
    <mergeCell ref="A8:C8"/>
    <mergeCell ref="D8:J8"/>
    <mergeCell ref="K8:L8"/>
    <mergeCell ref="M8:N8"/>
    <mergeCell ref="D5:J5"/>
    <mergeCell ref="K5:L5"/>
    <mergeCell ref="M5:N5"/>
    <mergeCell ref="D6:J6"/>
    <mergeCell ref="K6:L6"/>
    <mergeCell ref="M6:N6"/>
    <mergeCell ref="A1:N1"/>
    <mergeCell ref="D3:J3"/>
    <mergeCell ref="K3:L3"/>
    <mergeCell ref="M3:N3"/>
    <mergeCell ref="D4:J4"/>
    <mergeCell ref="K4:L4"/>
    <mergeCell ref="M4:N4"/>
  </mergeCells>
  <conditionalFormatting sqref="B17">
    <cfRule type="duplicateValues" dxfId="3" priority="1"/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workbookViewId="0">
      <selection activeCell="C19" sqref="C19"/>
    </sheetView>
  </sheetViews>
  <sheetFormatPr defaultRowHeight="14.25"/>
  <cols>
    <col min="1" max="1" width="4.140625" style="31" customWidth="1"/>
    <col min="2" max="2" width="12.7109375" style="161" customWidth="1"/>
    <col min="3" max="3" width="32.42578125" style="31" bestFit="1" customWidth="1"/>
    <col min="4" max="4" width="8.5703125" style="31" bestFit="1" customWidth="1"/>
    <col min="5" max="5" width="7.5703125" style="31" customWidth="1"/>
    <col min="6" max="6" width="6.140625" style="31" bestFit="1" customWidth="1"/>
    <col min="7" max="7" width="8.140625" style="128" customWidth="1"/>
    <col min="8" max="8" width="8.5703125" style="128" customWidth="1"/>
    <col min="9" max="9" width="11" style="31" customWidth="1"/>
    <col min="10" max="12" width="9.5703125" style="31" bestFit="1" customWidth="1"/>
    <col min="13" max="13" width="13.42578125" style="31" customWidth="1"/>
    <col min="14" max="14" width="10.140625" style="38" customWidth="1"/>
    <col min="15" max="15" width="0.7109375" style="31" hidden="1" customWidth="1"/>
    <col min="16" max="16" width="11.28515625" style="31" customWidth="1"/>
    <col min="17" max="255" width="9.140625" style="31"/>
    <col min="256" max="256" width="4" style="31" customWidth="1"/>
    <col min="257" max="257" width="0" style="31" hidden="1" customWidth="1"/>
    <col min="258" max="258" width="33.42578125" style="31" customWidth="1"/>
    <col min="259" max="259" width="0" style="31" hidden="1" customWidth="1"/>
    <col min="260" max="260" width="8.7109375" style="31" customWidth="1"/>
    <col min="261" max="261" width="7.5703125" style="31" customWidth="1"/>
    <col min="262" max="262" width="5.5703125" style="31" customWidth="1"/>
    <col min="263" max="263" width="8.140625" style="31" customWidth="1"/>
    <col min="264" max="264" width="8.5703125" style="31" customWidth="1"/>
    <col min="265" max="265" width="11" style="31" customWidth="1"/>
    <col min="266" max="268" width="9.5703125" style="31" bestFit="1" customWidth="1"/>
    <col min="269" max="269" width="13.42578125" style="31" customWidth="1"/>
    <col min="270" max="270" width="10.140625" style="31" customWidth="1"/>
    <col min="271" max="271" width="0" style="31" hidden="1" customWidth="1"/>
    <col min="272" max="272" width="11.28515625" style="31" customWidth="1"/>
    <col min="273" max="511" width="9.140625" style="31"/>
    <col min="512" max="512" width="4" style="31" customWidth="1"/>
    <col min="513" max="513" width="0" style="31" hidden="1" customWidth="1"/>
    <col min="514" max="514" width="33.42578125" style="31" customWidth="1"/>
    <col min="515" max="515" width="0" style="31" hidden="1" customWidth="1"/>
    <col min="516" max="516" width="8.7109375" style="31" customWidth="1"/>
    <col min="517" max="517" width="7.5703125" style="31" customWidth="1"/>
    <col min="518" max="518" width="5.5703125" style="31" customWidth="1"/>
    <col min="519" max="519" width="8.140625" style="31" customWidth="1"/>
    <col min="520" max="520" width="8.5703125" style="31" customWidth="1"/>
    <col min="521" max="521" width="11" style="31" customWidth="1"/>
    <col min="522" max="524" width="9.5703125" style="31" bestFit="1" customWidth="1"/>
    <col min="525" max="525" width="13.42578125" style="31" customWidth="1"/>
    <col min="526" max="526" width="10.140625" style="31" customWidth="1"/>
    <col min="527" max="527" width="0" style="31" hidden="1" customWidth="1"/>
    <col min="528" max="528" width="11.28515625" style="31" customWidth="1"/>
    <col min="529" max="767" width="9.140625" style="31"/>
    <col min="768" max="768" width="4" style="31" customWidth="1"/>
    <col min="769" max="769" width="0" style="31" hidden="1" customWidth="1"/>
    <col min="770" max="770" width="33.42578125" style="31" customWidth="1"/>
    <col min="771" max="771" width="0" style="31" hidden="1" customWidth="1"/>
    <col min="772" max="772" width="8.7109375" style="31" customWidth="1"/>
    <col min="773" max="773" width="7.5703125" style="31" customWidth="1"/>
    <col min="774" max="774" width="5.5703125" style="31" customWidth="1"/>
    <col min="775" max="775" width="8.140625" style="31" customWidth="1"/>
    <col min="776" max="776" width="8.5703125" style="31" customWidth="1"/>
    <col min="777" max="777" width="11" style="31" customWidth="1"/>
    <col min="778" max="780" width="9.5703125" style="31" bestFit="1" customWidth="1"/>
    <col min="781" max="781" width="13.42578125" style="31" customWidth="1"/>
    <col min="782" max="782" width="10.140625" style="31" customWidth="1"/>
    <col min="783" max="783" width="0" style="31" hidden="1" customWidth="1"/>
    <col min="784" max="784" width="11.28515625" style="31" customWidth="1"/>
    <col min="785" max="1023" width="9.140625" style="31"/>
    <col min="1024" max="1024" width="4" style="31" customWidth="1"/>
    <col min="1025" max="1025" width="0" style="31" hidden="1" customWidth="1"/>
    <col min="1026" max="1026" width="33.42578125" style="31" customWidth="1"/>
    <col min="1027" max="1027" width="0" style="31" hidden="1" customWidth="1"/>
    <col min="1028" max="1028" width="8.7109375" style="31" customWidth="1"/>
    <col min="1029" max="1029" width="7.5703125" style="31" customWidth="1"/>
    <col min="1030" max="1030" width="5.5703125" style="31" customWidth="1"/>
    <col min="1031" max="1031" width="8.140625" style="31" customWidth="1"/>
    <col min="1032" max="1032" width="8.5703125" style="31" customWidth="1"/>
    <col min="1033" max="1033" width="11" style="31" customWidth="1"/>
    <col min="1034" max="1036" width="9.5703125" style="31" bestFit="1" customWidth="1"/>
    <col min="1037" max="1037" width="13.42578125" style="31" customWidth="1"/>
    <col min="1038" max="1038" width="10.140625" style="31" customWidth="1"/>
    <col min="1039" max="1039" width="0" style="31" hidden="1" customWidth="1"/>
    <col min="1040" max="1040" width="11.28515625" style="31" customWidth="1"/>
    <col min="1041" max="1279" width="9.140625" style="31"/>
    <col min="1280" max="1280" width="4" style="31" customWidth="1"/>
    <col min="1281" max="1281" width="0" style="31" hidden="1" customWidth="1"/>
    <col min="1282" max="1282" width="33.42578125" style="31" customWidth="1"/>
    <col min="1283" max="1283" width="0" style="31" hidden="1" customWidth="1"/>
    <col min="1284" max="1284" width="8.7109375" style="31" customWidth="1"/>
    <col min="1285" max="1285" width="7.5703125" style="31" customWidth="1"/>
    <col min="1286" max="1286" width="5.5703125" style="31" customWidth="1"/>
    <col min="1287" max="1287" width="8.140625" style="31" customWidth="1"/>
    <col min="1288" max="1288" width="8.5703125" style="31" customWidth="1"/>
    <col min="1289" max="1289" width="11" style="31" customWidth="1"/>
    <col min="1290" max="1292" width="9.5703125" style="31" bestFit="1" customWidth="1"/>
    <col min="1293" max="1293" width="13.42578125" style="31" customWidth="1"/>
    <col min="1294" max="1294" width="10.140625" style="31" customWidth="1"/>
    <col min="1295" max="1295" width="0" style="31" hidden="1" customWidth="1"/>
    <col min="1296" max="1296" width="11.28515625" style="31" customWidth="1"/>
    <col min="1297" max="1535" width="9.140625" style="31"/>
    <col min="1536" max="1536" width="4" style="31" customWidth="1"/>
    <col min="1537" max="1537" width="0" style="31" hidden="1" customWidth="1"/>
    <col min="1538" max="1538" width="33.42578125" style="31" customWidth="1"/>
    <col min="1539" max="1539" width="0" style="31" hidden="1" customWidth="1"/>
    <col min="1540" max="1540" width="8.7109375" style="31" customWidth="1"/>
    <col min="1541" max="1541" width="7.5703125" style="31" customWidth="1"/>
    <col min="1542" max="1542" width="5.5703125" style="31" customWidth="1"/>
    <col min="1543" max="1543" width="8.140625" style="31" customWidth="1"/>
    <col min="1544" max="1544" width="8.5703125" style="31" customWidth="1"/>
    <col min="1545" max="1545" width="11" style="31" customWidth="1"/>
    <col min="1546" max="1548" width="9.5703125" style="31" bestFit="1" customWidth="1"/>
    <col min="1549" max="1549" width="13.42578125" style="31" customWidth="1"/>
    <col min="1550" max="1550" width="10.140625" style="31" customWidth="1"/>
    <col min="1551" max="1551" width="0" style="31" hidden="1" customWidth="1"/>
    <col min="1552" max="1552" width="11.28515625" style="31" customWidth="1"/>
    <col min="1553" max="1791" width="9.140625" style="31"/>
    <col min="1792" max="1792" width="4" style="31" customWidth="1"/>
    <col min="1793" max="1793" width="0" style="31" hidden="1" customWidth="1"/>
    <col min="1794" max="1794" width="33.42578125" style="31" customWidth="1"/>
    <col min="1795" max="1795" width="0" style="31" hidden="1" customWidth="1"/>
    <col min="1796" max="1796" width="8.7109375" style="31" customWidth="1"/>
    <col min="1797" max="1797" width="7.5703125" style="31" customWidth="1"/>
    <col min="1798" max="1798" width="5.5703125" style="31" customWidth="1"/>
    <col min="1799" max="1799" width="8.140625" style="31" customWidth="1"/>
    <col min="1800" max="1800" width="8.5703125" style="31" customWidth="1"/>
    <col min="1801" max="1801" width="11" style="31" customWidth="1"/>
    <col min="1802" max="1804" width="9.5703125" style="31" bestFit="1" customWidth="1"/>
    <col min="1805" max="1805" width="13.42578125" style="31" customWidth="1"/>
    <col min="1806" max="1806" width="10.140625" style="31" customWidth="1"/>
    <col min="1807" max="1807" width="0" style="31" hidden="1" customWidth="1"/>
    <col min="1808" max="1808" width="11.28515625" style="31" customWidth="1"/>
    <col min="1809" max="2047" width="9.140625" style="31"/>
    <col min="2048" max="2048" width="4" style="31" customWidth="1"/>
    <col min="2049" max="2049" width="0" style="31" hidden="1" customWidth="1"/>
    <col min="2050" max="2050" width="33.42578125" style="31" customWidth="1"/>
    <col min="2051" max="2051" width="0" style="31" hidden="1" customWidth="1"/>
    <col min="2052" max="2052" width="8.7109375" style="31" customWidth="1"/>
    <col min="2053" max="2053" width="7.5703125" style="31" customWidth="1"/>
    <col min="2054" max="2054" width="5.5703125" style="31" customWidth="1"/>
    <col min="2055" max="2055" width="8.140625" style="31" customWidth="1"/>
    <col min="2056" max="2056" width="8.5703125" style="31" customWidth="1"/>
    <col min="2057" max="2057" width="11" style="31" customWidth="1"/>
    <col min="2058" max="2060" width="9.5703125" style="31" bestFit="1" customWidth="1"/>
    <col min="2061" max="2061" width="13.42578125" style="31" customWidth="1"/>
    <col min="2062" max="2062" width="10.140625" style="31" customWidth="1"/>
    <col min="2063" max="2063" width="0" style="31" hidden="1" customWidth="1"/>
    <col min="2064" max="2064" width="11.28515625" style="31" customWidth="1"/>
    <col min="2065" max="2303" width="9.140625" style="31"/>
    <col min="2304" max="2304" width="4" style="31" customWidth="1"/>
    <col min="2305" max="2305" width="0" style="31" hidden="1" customWidth="1"/>
    <col min="2306" max="2306" width="33.42578125" style="31" customWidth="1"/>
    <col min="2307" max="2307" width="0" style="31" hidden="1" customWidth="1"/>
    <col min="2308" max="2308" width="8.7109375" style="31" customWidth="1"/>
    <col min="2309" max="2309" width="7.5703125" style="31" customWidth="1"/>
    <col min="2310" max="2310" width="5.5703125" style="31" customWidth="1"/>
    <col min="2311" max="2311" width="8.140625" style="31" customWidth="1"/>
    <col min="2312" max="2312" width="8.5703125" style="31" customWidth="1"/>
    <col min="2313" max="2313" width="11" style="31" customWidth="1"/>
    <col min="2314" max="2316" width="9.5703125" style="31" bestFit="1" customWidth="1"/>
    <col min="2317" max="2317" width="13.42578125" style="31" customWidth="1"/>
    <col min="2318" max="2318" width="10.140625" style="31" customWidth="1"/>
    <col min="2319" max="2319" width="0" style="31" hidden="1" customWidth="1"/>
    <col min="2320" max="2320" width="11.28515625" style="31" customWidth="1"/>
    <col min="2321" max="2559" width="9.140625" style="31"/>
    <col min="2560" max="2560" width="4" style="31" customWidth="1"/>
    <col min="2561" max="2561" width="0" style="31" hidden="1" customWidth="1"/>
    <col min="2562" max="2562" width="33.42578125" style="31" customWidth="1"/>
    <col min="2563" max="2563" width="0" style="31" hidden="1" customWidth="1"/>
    <col min="2564" max="2564" width="8.7109375" style="31" customWidth="1"/>
    <col min="2565" max="2565" width="7.5703125" style="31" customWidth="1"/>
    <col min="2566" max="2566" width="5.5703125" style="31" customWidth="1"/>
    <col min="2567" max="2567" width="8.140625" style="31" customWidth="1"/>
    <col min="2568" max="2568" width="8.5703125" style="31" customWidth="1"/>
    <col min="2569" max="2569" width="11" style="31" customWidth="1"/>
    <col min="2570" max="2572" width="9.5703125" style="31" bestFit="1" customWidth="1"/>
    <col min="2573" max="2573" width="13.42578125" style="31" customWidth="1"/>
    <col min="2574" max="2574" width="10.140625" style="31" customWidth="1"/>
    <col min="2575" max="2575" width="0" style="31" hidden="1" customWidth="1"/>
    <col min="2576" max="2576" width="11.28515625" style="31" customWidth="1"/>
    <col min="2577" max="2815" width="9.140625" style="31"/>
    <col min="2816" max="2816" width="4" style="31" customWidth="1"/>
    <col min="2817" max="2817" width="0" style="31" hidden="1" customWidth="1"/>
    <col min="2818" max="2818" width="33.42578125" style="31" customWidth="1"/>
    <col min="2819" max="2819" width="0" style="31" hidden="1" customWidth="1"/>
    <col min="2820" max="2820" width="8.7109375" style="31" customWidth="1"/>
    <col min="2821" max="2821" width="7.5703125" style="31" customWidth="1"/>
    <col min="2822" max="2822" width="5.5703125" style="31" customWidth="1"/>
    <col min="2823" max="2823" width="8.140625" style="31" customWidth="1"/>
    <col min="2824" max="2824" width="8.5703125" style="31" customWidth="1"/>
    <col min="2825" max="2825" width="11" style="31" customWidth="1"/>
    <col min="2826" max="2828" width="9.5703125" style="31" bestFit="1" customWidth="1"/>
    <col min="2829" max="2829" width="13.42578125" style="31" customWidth="1"/>
    <col min="2830" max="2830" width="10.140625" style="31" customWidth="1"/>
    <col min="2831" max="2831" width="0" style="31" hidden="1" customWidth="1"/>
    <col min="2832" max="2832" width="11.28515625" style="31" customWidth="1"/>
    <col min="2833" max="3071" width="9.140625" style="31"/>
    <col min="3072" max="3072" width="4" style="31" customWidth="1"/>
    <col min="3073" max="3073" width="0" style="31" hidden="1" customWidth="1"/>
    <col min="3074" max="3074" width="33.42578125" style="31" customWidth="1"/>
    <col min="3075" max="3075" width="0" style="31" hidden="1" customWidth="1"/>
    <col min="3076" max="3076" width="8.7109375" style="31" customWidth="1"/>
    <col min="3077" max="3077" width="7.5703125" style="31" customWidth="1"/>
    <col min="3078" max="3078" width="5.5703125" style="31" customWidth="1"/>
    <col min="3079" max="3079" width="8.140625" style="31" customWidth="1"/>
    <col min="3080" max="3080" width="8.5703125" style="31" customWidth="1"/>
    <col min="3081" max="3081" width="11" style="31" customWidth="1"/>
    <col min="3082" max="3084" width="9.5703125" style="31" bestFit="1" customWidth="1"/>
    <col min="3085" max="3085" width="13.42578125" style="31" customWidth="1"/>
    <col min="3086" max="3086" width="10.140625" style="31" customWidth="1"/>
    <col min="3087" max="3087" width="0" style="31" hidden="1" customWidth="1"/>
    <col min="3088" max="3088" width="11.28515625" style="31" customWidth="1"/>
    <col min="3089" max="3327" width="9.140625" style="31"/>
    <col min="3328" max="3328" width="4" style="31" customWidth="1"/>
    <col min="3329" max="3329" width="0" style="31" hidden="1" customWidth="1"/>
    <col min="3330" max="3330" width="33.42578125" style="31" customWidth="1"/>
    <col min="3331" max="3331" width="0" style="31" hidden="1" customWidth="1"/>
    <col min="3332" max="3332" width="8.7109375" style="31" customWidth="1"/>
    <col min="3333" max="3333" width="7.5703125" style="31" customWidth="1"/>
    <col min="3334" max="3334" width="5.5703125" style="31" customWidth="1"/>
    <col min="3335" max="3335" width="8.140625" style="31" customWidth="1"/>
    <col min="3336" max="3336" width="8.5703125" style="31" customWidth="1"/>
    <col min="3337" max="3337" width="11" style="31" customWidth="1"/>
    <col min="3338" max="3340" width="9.5703125" style="31" bestFit="1" customWidth="1"/>
    <col min="3341" max="3341" width="13.42578125" style="31" customWidth="1"/>
    <col min="3342" max="3342" width="10.140625" style="31" customWidth="1"/>
    <col min="3343" max="3343" width="0" style="31" hidden="1" customWidth="1"/>
    <col min="3344" max="3344" width="11.28515625" style="31" customWidth="1"/>
    <col min="3345" max="3583" width="9.140625" style="31"/>
    <col min="3584" max="3584" width="4" style="31" customWidth="1"/>
    <col min="3585" max="3585" width="0" style="31" hidden="1" customWidth="1"/>
    <col min="3586" max="3586" width="33.42578125" style="31" customWidth="1"/>
    <col min="3587" max="3587" width="0" style="31" hidden="1" customWidth="1"/>
    <col min="3588" max="3588" width="8.7109375" style="31" customWidth="1"/>
    <col min="3589" max="3589" width="7.5703125" style="31" customWidth="1"/>
    <col min="3590" max="3590" width="5.5703125" style="31" customWidth="1"/>
    <col min="3591" max="3591" width="8.140625" style="31" customWidth="1"/>
    <col min="3592" max="3592" width="8.5703125" style="31" customWidth="1"/>
    <col min="3593" max="3593" width="11" style="31" customWidth="1"/>
    <col min="3594" max="3596" width="9.5703125" style="31" bestFit="1" customWidth="1"/>
    <col min="3597" max="3597" width="13.42578125" style="31" customWidth="1"/>
    <col min="3598" max="3598" width="10.140625" style="31" customWidth="1"/>
    <col min="3599" max="3599" width="0" style="31" hidden="1" customWidth="1"/>
    <col min="3600" max="3600" width="11.28515625" style="31" customWidth="1"/>
    <col min="3601" max="3839" width="9.140625" style="31"/>
    <col min="3840" max="3840" width="4" style="31" customWidth="1"/>
    <col min="3841" max="3841" width="0" style="31" hidden="1" customWidth="1"/>
    <col min="3842" max="3842" width="33.42578125" style="31" customWidth="1"/>
    <col min="3843" max="3843" width="0" style="31" hidden="1" customWidth="1"/>
    <col min="3844" max="3844" width="8.7109375" style="31" customWidth="1"/>
    <col min="3845" max="3845" width="7.5703125" style="31" customWidth="1"/>
    <col min="3846" max="3846" width="5.5703125" style="31" customWidth="1"/>
    <col min="3847" max="3847" width="8.140625" style="31" customWidth="1"/>
    <col min="3848" max="3848" width="8.5703125" style="31" customWidth="1"/>
    <col min="3849" max="3849" width="11" style="31" customWidth="1"/>
    <col min="3850" max="3852" width="9.5703125" style="31" bestFit="1" customWidth="1"/>
    <col min="3853" max="3853" width="13.42578125" style="31" customWidth="1"/>
    <col min="3854" max="3854" width="10.140625" style="31" customWidth="1"/>
    <col min="3855" max="3855" width="0" style="31" hidden="1" customWidth="1"/>
    <col min="3856" max="3856" width="11.28515625" style="31" customWidth="1"/>
    <col min="3857" max="4095" width="9.140625" style="31"/>
    <col min="4096" max="4096" width="4" style="31" customWidth="1"/>
    <col min="4097" max="4097" width="0" style="31" hidden="1" customWidth="1"/>
    <col min="4098" max="4098" width="33.42578125" style="31" customWidth="1"/>
    <col min="4099" max="4099" width="0" style="31" hidden="1" customWidth="1"/>
    <col min="4100" max="4100" width="8.7109375" style="31" customWidth="1"/>
    <col min="4101" max="4101" width="7.5703125" style="31" customWidth="1"/>
    <col min="4102" max="4102" width="5.5703125" style="31" customWidth="1"/>
    <col min="4103" max="4103" width="8.140625" style="31" customWidth="1"/>
    <col min="4104" max="4104" width="8.5703125" style="31" customWidth="1"/>
    <col min="4105" max="4105" width="11" style="31" customWidth="1"/>
    <col min="4106" max="4108" width="9.5703125" style="31" bestFit="1" customWidth="1"/>
    <col min="4109" max="4109" width="13.42578125" style="31" customWidth="1"/>
    <col min="4110" max="4110" width="10.140625" style="31" customWidth="1"/>
    <col min="4111" max="4111" width="0" style="31" hidden="1" customWidth="1"/>
    <col min="4112" max="4112" width="11.28515625" style="31" customWidth="1"/>
    <col min="4113" max="4351" width="9.140625" style="31"/>
    <col min="4352" max="4352" width="4" style="31" customWidth="1"/>
    <col min="4353" max="4353" width="0" style="31" hidden="1" customWidth="1"/>
    <col min="4354" max="4354" width="33.42578125" style="31" customWidth="1"/>
    <col min="4355" max="4355" width="0" style="31" hidden="1" customWidth="1"/>
    <col min="4356" max="4356" width="8.7109375" style="31" customWidth="1"/>
    <col min="4357" max="4357" width="7.5703125" style="31" customWidth="1"/>
    <col min="4358" max="4358" width="5.5703125" style="31" customWidth="1"/>
    <col min="4359" max="4359" width="8.140625" style="31" customWidth="1"/>
    <col min="4360" max="4360" width="8.5703125" style="31" customWidth="1"/>
    <col min="4361" max="4361" width="11" style="31" customWidth="1"/>
    <col min="4362" max="4364" width="9.5703125" style="31" bestFit="1" customWidth="1"/>
    <col min="4365" max="4365" width="13.42578125" style="31" customWidth="1"/>
    <col min="4366" max="4366" width="10.140625" style="31" customWidth="1"/>
    <col min="4367" max="4367" width="0" style="31" hidden="1" customWidth="1"/>
    <col min="4368" max="4368" width="11.28515625" style="31" customWidth="1"/>
    <col min="4369" max="4607" width="9.140625" style="31"/>
    <col min="4608" max="4608" width="4" style="31" customWidth="1"/>
    <col min="4609" max="4609" width="0" style="31" hidden="1" customWidth="1"/>
    <col min="4610" max="4610" width="33.42578125" style="31" customWidth="1"/>
    <col min="4611" max="4611" width="0" style="31" hidden="1" customWidth="1"/>
    <col min="4612" max="4612" width="8.7109375" style="31" customWidth="1"/>
    <col min="4613" max="4613" width="7.5703125" style="31" customWidth="1"/>
    <col min="4614" max="4614" width="5.5703125" style="31" customWidth="1"/>
    <col min="4615" max="4615" width="8.140625" style="31" customWidth="1"/>
    <col min="4616" max="4616" width="8.5703125" style="31" customWidth="1"/>
    <col min="4617" max="4617" width="11" style="31" customWidth="1"/>
    <col min="4618" max="4620" width="9.5703125" style="31" bestFit="1" customWidth="1"/>
    <col min="4621" max="4621" width="13.42578125" style="31" customWidth="1"/>
    <col min="4622" max="4622" width="10.140625" style="31" customWidth="1"/>
    <col min="4623" max="4623" width="0" style="31" hidden="1" customWidth="1"/>
    <col min="4624" max="4624" width="11.28515625" style="31" customWidth="1"/>
    <col min="4625" max="4863" width="9.140625" style="31"/>
    <col min="4864" max="4864" width="4" style="31" customWidth="1"/>
    <col min="4865" max="4865" width="0" style="31" hidden="1" customWidth="1"/>
    <col min="4866" max="4866" width="33.42578125" style="31" customWidth="1"/>
    <col min="4867" max="4867" width="0" style="31" hidden="1" customWidth="1"/>
    <col min="4868" max="4868" width="8.7109375" style="31" customWidth="1"/>
    <col min="4869" max="4869" width="7.5703125" style="31" customWidth="1"/>
    <col min="4870" max="4870" width="5.5703125" style="31" customWidth="1"/>
    <col min="4871" max="4871" width="8.140625" style="31" customWidth="1"/>
    <col min="4872" max="4872" width="8.5703125" style="31" customWidth="1"/>
    <col min="4873" max="4873" width="11" style="31" customWidth="1"/>
    <col min="4874" max="4876" width="9.5703125" style="31" bestFit="1" customWidth="1"/>
    <col min="4877" max="4877" width="13.42578125" style="31" customWidth="1"/>
    <col min="4878" max="4878" width="10.140625" style="31" customWidth="1"/>
    <col min="4879" max="4879" width="0" style="31" hidden="1" customWidth="1"/>
    <col min="4880" max="4880" width="11.28515625" style="31" customWidth="1"/>
    <col min="4881" max="5119" width="9.140625" style="31"/>
    <col min="5120" max="5120" width="4" style="31" customWidth="1"/>
    <col min="5121" max="5121" width="0" style="31" hidden="1" customWidth="1"/>
    <col min="5122" max="5122" width="33.42578125" style="31" customWidth="1"/>
    <col min="5123" max="5123" width="0" style="31" hidden="1" customWidth="1"/>
    <col min="5124" max="5124" width="8.7109375" style="31" customWidth="1"/>
    <col min="5125" max="5125" width="7.5703125" style="31" customWidth="1"/>
    <col min="5126" max="5126" width="5.5703125" style="31" customWidth="1"/>
    <col min="5127" max="5127" width="8.140625" style="31" customWidth="1"/>
    <col min="5128" max="5128" width="8.5703125" style="31" customWidth="1"/>
    <col min="5129" max="5129" width="11" style="31" customWidth="1"/>
    <col min="5130" max="5132" width="9.5703125" style="31" bestFit="1" customWidth="1"/>
    <col min="5133" max="5133" width="13.42578125" style="31" customWidth="1"/>
    <col min="5134" max="5134" width="10.140625" style="31" customWidth="1"/>
    <col min="5135" max="5135" width="0" style="31" hidden="1" customWidth="1"/>
    <col min="5136" max="5136" width="11.28515625" style="31" customWidth="1"/>
    <col min="5137" max="5375" width="9.140625" style="31"/>
    <col min="5376" max="5376" width="4" style="31" customWidth="1"/>
    <col min="5377" max="5377" width="0" style="31" hidden="1" customWidth="1"/>
    <col min="5378" max="5378" width="33.42578125" style="31" customWidth="1"/>
    <col min="5379" max="5379" width="0" style="31" hidden="1" customWidth="1"/>
    <col min="5380" max="5380" width="8.7109375" style="31" customWidth="1"/>
    <col min="5381" max="5381" width="7.5703125" style="31" customWidth="1"/>
    <col min="5382" max="5382" width="5.5703125" style="31" customWidth="1"/>
    <col min="5383" max="5383" width="8.140625" style="31" customWidth="1"/>
    <col min="5384" max="5384" width="8.5703125" style="31" customWidth="1"/>
    <col min="5385" max="5385" width="11" style="31" customWidth="1"/>
    <col min="5386" max="5388" width="9.5703125" style="31" bestFit="1" customWidth="1"/>
    <col min="5389" max="5389" width="13.42578125" style="31" customWidth="1"/>
    <col min="5390" max="5390" width="10.140625" style="31" customWidth="1"/>
    <col min="5391" max="5391" width="0" style="31" hidden="1" customWidth="1"/>
    <col min="5392" max="5392" width="11.28515625" style="31" customWidth="1"/>
    <col min="5393" max="5631" width="9.140625" style="31"/>
    <col min="5632" max="5632" width="4" style="31" customWidth="1"/>
    <col min="5633" max="5633" width="0" style="31" hidden="1" customWidth="1"/>
    <col min="5634" max="5634" width="33.42578125" style="31" customWidth="1"/>
    <col min="5635" max="5635" width="0" style="31" hidden="1" customWidth="1"/>
    <col min="5636" max="5636" width="8.7109375" style="31" customWidth="1"/>
    <col min="5637" max="5637" width="7.5703125" style="31" customWidth="1"/>
    <col min="5638" max="5638" width="5.5703125" style="31" customWidth="1"/>
    <col min="5639" max="5639" width="8.140625" style="31" customWidth="1"/>
    <col min="5640" max="5640" width="8.5703125" style="31" customWidth="1"/>
    <col min="5641" max="5641" width="11" style="31" customWidth="1"/>
    <col min="5642" max="5644" width="9.5703125" style="31" bestFit="1" customWidth="1"/>
    <col min="5645" max="5645" width="13.42578125" style="31" customWidth="1"/>
    <col min="5646" max="5646" width="10.140625" style="31" customWidth="1"/>
    <col min="5647" max="5647" width="0" style="31" hidden="1" customWidth="1"/>
    <col min="5648" max="5648" width="11.28515625" style="31" customWidth="1"/>
    <col min="5649" max="5887" width="9.140625" style="31"/>
    <col min="5888" max="5888" width="4" style="31" customWidth="1"/>
    <col min="5889" max="5889" width="0" style="31" hidden="1" customWidth="1"/>
    <col min="5890" max="5890" width="33.42578125" style="31" customWidth="1"/>
    <col min="5891" max="5891" width="0" style="31" hidden="1" customWidth="1"/>
    <col min="5892" max="5892" width="8.7109375" style="31" customWidth="1"/>
    <col min="5893" max="5893" width="7.5703125" style="31" customWidth="1"/>
    <col min="5894" max="5894" width="5.5703125" style="31" customWidth="1"/>
    <col min="5895" max="5895" width="8.140625" style="31" customWidth="1"/>
    <col min="5896" max="5896" width="8.5703125" style="31" customWidth="1"/>
    <col min="5897" max="5897" width="11" style="31" customWidth="1"/>
    <col min="5898" max="5900" width="9.5703125" style="31" bestFit="1" customWidth="1"/>
    <col min="5901" max="5901" width="13.42578125" style="31" customWidth="1"/>
    <col min="5902" max="5902" width="10.140625" style="31" customWidth="1"/>
    <col min="5903" max="5903" width="0" style="31" hidden="1" customWidth="1"/>
    <col min="5904" max="5904" width="11.28515625" style="31" customWidth="1"/>
    <col min="5905" max="6143" width="9.140625" style="31"/>
    <col min="6144" max="6144" width="4" style="31" customWidth="1"/>
    <col min="6145" max="6145" width="0" style="31" hidden="1" customWidth="1"/>
    <col min="6146" max="6146" width="33.42578125" style="31" customWidth="1"/>
    <col min="6147" max="6147" width="0" style="31" hidden="1" customWidth="1"/>
    <col min="6148" max="6148" width="8.7109375" style="31" customWidth="1"/>
    <col min="6149" max="6149" width="7.5703125" style="31" customWidth="1"/>
    <col min="6150" max="6150" width="5.5703125" style="31" customWidth="1"/>
    <col min="6151" max="6151" width="8.140625" style="31" customWidth="1"/>
    <col min="6152" max="6152" width="8.5703125" style="31" customWidth="1"/>
    <col min="6153" max="6153" width="11" style="31" customWidth="1"/>
    <col min="6154" max="6156" width="9.5703125" style="31" bestFit="1" customWidth="1"/>
    <col min="6157" max="6157" width="13.42578125" style="31" customWidth="1"/>
    <col min="6158" max="6158" width="10.140625" style="31" customWidth="1"/>
    <col min="6159" max="6159" width="0" style="31" hidden="1" customWidth="1"/>
    <col min="6160" max="6160" width="11.28515625" style="31" customWidth="1"/>
    <col min="6161" max="6399" width="9.140625" style="31"/>
    <col min="6400" max="6400" width="4" style="31" customWidth="1"/>
    <col min="6401" max="6401" width="0" style="31" hidden="1" customWidth="1"/>
    <col min="6402" max="6402" width="33.42578125" style="31" customWidth="1"/>
    <col min="6403" max="6403" width="0" style="31" hidden="1" customWidth="1"/>
    <col min="6404" max="6404" width="8.7109375" style="31" customWidth="1"/>
    <col min="6405" max="6405" width="7.5703125" style="31" customWidth="1"/>
    <col min="6406" max="6406" width="5.5703125" style="31" customWidth="1"/>
    <col min="6407" max="6407" width="8.140625" style="31" customWidth="1"/>
    <col min="6408" max="6408" width="8.5703125" style="31" customWidth="1"/>
    <col min="6409" max="6409" width="11" style="31" customWidth="1"/>
    <col min="6410" max="6412" width="9.5703125" style="31" bestFit="1" customWidth="1"/>
    <col min="6413" max="6413" width="13.42578125" style="31" customWidth="1"/>
    <col min="6414" max="6414" width="10.140625" style="31" customWidth="1"/>
    <col min="6415" max="6415" width="0" style="31" hidden="1" customWidth="1"/>
    <col min="6416" max="6416" width="11.28515625" style="31" customWidth="1"/>
    <col min="6417" max="6655" width="9.140625" style="31"/>
    <col min="6656" max="6656" width="4" style="31" customWidth="1"/>
    <col min="6657" max="6657" width="0" style="31" hidden="1" customWidth="1"/>
    <col min="6658" max="6658" width="33.42578125" style="31" customWidth="1"/>
    <col min="6659" max="6659" width="0" style="31" hidden="1" customWidth="1"/>
    <col min="6660" max="6660" width="8.7109375" style="31" customWidth="1"/>
    <col min="6661" max="6661" width="7.5703125" style="31" customWidth="1"/>
    <col min="6662" max="6662" width="5.5703125" style="31" customWidth="1"/>
    <col min="6663" max="6663" width="8.140625" style="31" customWidth="1"/>
    <col min="6664" max="6664" width="8.5703125" style="31" customWidth="1"/>
    <col min="6665" max="6665" width="11" style="31" customWidth="1"/>
    <col min="6666" max="6668" width="9.5703125" style="31" bestFit="1" customWidth="1"/>
    <col min="6669" max="6669" width="13.42578125" style="31" customWidth="1"/>
    <col min="6670" max="6670" width="10.140625" style="31" customWidth="1"/>
    <col min="6671" max="6671" width="0" style="31" hidden="1" customWidth="1"/>
    <col min="6672" max="6672" width="11.28515625" style="31" customWidth="1"/>
    <col min="6673" max="6911" width="9.140625" style="31"/>
    <col min="6912" max="6912" width="4" style="31" customWidth="1"/>
    <col min="6913" max="6913" width="0" style="31" hidden="1" customWidth="1"/>
    <col min="6914" max="6914" width="33.42578125" style="31" customWidth="1"/>
    <col min="6915" max="6915" width="0" style="31" hidden="1" customWidth="1"/>
    <col min="6916" max="6916" width="8.7109375" style="31" customWidth="1"/>
    <col min="6917" max="6917" width="7.5703125" style="31" customWidth="1"/>
    <col min="6918" max="6918" width="5.5703125" style="31" customWidth="1"/>
    <col min="6919" max="6919" width="8.140625" style="31" customWidth="1"/>
    <col min="6920" max="6920" width="8.5703125" style="31" customWidth="1"/>
    <col min="6921" max="6921" width="11" style="31" customWidth="1"/>
    <col min="6922" max="6924" width="9.5703125" style="31" bestFit="1" customWidth="1"/>
    <col min="6925" max="6925" width="13.42578125" style="31" customWidth="1"/>
    <col min="6926" max="6926" width="10.140625" style="31" customWidth="1"/>
    <col min="6927" max="6927" width="0" style="31" hidden="1" customWidth="1"/>
    <col min="6928" max="6928" width="11.28515625" style="31" customWidth="1"/>
    <col min="6929" max="7167" width="9.140625" style="31"/>
    <col min="7168" max="7168" width="4" style="31" customWidth="1"/>
    <col min="7169" max="7169" width="0" style="31" hidden="1" customWidth="1"/>
    <col min="7170" max="7170" width="33.42578125" style="31" customWidth="1"/>
    <col min="7171" max="7171" width="0" style="31" hidden="1" customWidth="1"/>
    <col min="7172" max="7172" width="8.7109375" style="31" customWidth="1"/>
    <col min="7173" max="7173" width="7.5703125" style="31" customWidth="1"/>
    <col min="7174" max="7174" width="5.5703125" style="31" customWidth="1"/>
    <col min="7175" max="7175" width="8.140625" style="31" customWidth="1"/>
    <col min="7176" max="7176" width="8.5703125" style="31" customWidth="1"/>
    <col min="7177" max="7177" width="11" style="31" customWidth="1"/>
    <col min="7178" max="7180" width="9.5703125" style="31" bestFit="1" customWidth="1"/>
    <col min="7181" max="7181" width="13.42578125" style="31" customWidth="1"/>
    <col min="7182" max="7182" width="10.140625" style="31" customWidth="1"/>
    <col min="7183" max="7183" width="0" style="31" hidden="1" customWidth="1"/>
    <col min="7184" max="7184" width="11.28515625" style="31" customWidth="1"/>
    <col min="7185" max="7423" width="9.140625" style="31"/>
    <col min="7424" max="7424" width="4" style="31" customWidth="1"/>
    <col min="7425" max="7425" width="0" style="31" hidden="1" customWidth="1"/>
    <col min="7426" max="7426" width="33.42578125" style="31" customWidth="1"/>
    <col min="7427" max="7427" width="0" style="31" hidden="1" customWidth="1"/>
    <col min="7428" max="7428" width="8.7109375" style="31" customWidth="1"/>
    <col min="7429" max="7429" width="7.5703125" style="31" customWidth="1"/>
    <col min="7430" max="7430" width="5.5703125" style="31" customWidth="1"/>
    <col min="7431" max="7431" width="8.140625" style="31" customWidth="1"/>
    <col min="7432" max="7432" width="8.5703125" style="31" customWidth="1"/>
    <col min="7433" max="7433" width="11" style="31" customWidth="1"/>
    <col min="7434" max="7436" width="9.5703125" style="31" bestFit="1" customWidth="1"/>
    <col min="7437" max="7437" width="13.42578125" style="31" customWidth="1"/>
    <col min="7438" max="7438" width="10.140625" style="31" customWidth="1"/>
    <col min="7439" max="7439" width="0" style="31" hidden="1" customWidth="1"/>
    <col min="7440" max="7440" width="11.28515625" style="31" customWidth="1"/>
    <col min="7441" max="7679" width="9.140625" style="31"/>
    <col min="7680" max="7680" width="4" style="31" customWidth="1"/>
    <col min="7681" max="7681" width="0" style="31" hidden="1" customWidth="1"/>
    <col min="7682" max="7682" width="33.42578125" style="31" customWidth="1"/>
    <col min="7683" max="7683" width="0" style="31" hidden="1" customWidth="1"/>
    <col min="7684" max="7684" width="8.7109375" style="31" customWidth="1"/>
    <col min="7685" max="7685" width="7.5703125" style="31" customWidth="1"/>
    <col min="7686" max="7686" width="5.5703125" style="31" customWidth="1"/>
    <col min="7687" max="7687" width="8.140625" style="31" customWidth="1"/>
    <col min="7688" max="7688" width="8.5703125" style="31" customWidth="1"/>
    <col min="7689" max="7689" width="11" style="31" customWidth="1"/>
    <col min="7690" max="7692" width="9.5703125" style="31" bestFit="1" customWidth="1"/>
    <col min="7693" max="7693" width="13.42578125" style="31" customWidth="1"/>
    <col min="7694" max="7694" width="10.140625" style="31" customWidth="1"/>
    <col min="7695" max="7695" width="0" style="31" hidden="1" customWidth="1"/>
    <col min="7696" max="7696" width="11.28515625" style="31" customWidth="1"/>
    <col min="7697" max="7935" width="9.140625" style="31"/>
    <col min="7936" max="7936" width="4" style="31" customWidth="1"/>
    <col min="7937" max="7937" width="0" style="31" hidden="1" customWidth="1"/>
    <col min="7938" max="7938" width="33.42578125" style="31" customWidth="1"/>
    <col min="7939" max="7939" width="0" style="31" hidden="1" customWidth="1"/>
    <col min="7940" max="7940" width="8.7109375" style="31" customWidth="1"/>
    <col min="7941" max="7941" width="7.5703125" style="31" customWidth="1"/>
    <col min="7942" max="7942" width="5.5703125" style="31" customWidth="1"/>
    <col min="7943" max="7943" width="8.140625" style="31" customWidth="1"/>
    <col min="7944" max="7944" width="8.5703125" style="31" customWidth="1"/>
    <col min="7945" max="7945" width="11" style="31" customWidth="1"/>
    <col min="7946" max="7948" width="9.5703125" style="31" bestFit="1" customWidth="1"/>
    <col min="7949" max="7949" width="13.42578125" style="31" customWidth="1"/>
    <col min="7950" max="7950" width="10.140625" style="31" customWidth="1"/>
    <col min="7951" max="7951" width="0" style="31" hidden="1" customWidth="1"/>
    <col min="7952" max="7952" width="11.28515625" style="31" customWidth="1"/>
    <col min="7953" max="8191" width="9.140625" style="31"/>
    <col min="8192" max="8192" width="4" style="31" customWidth="1"/>
    <col min="8193" max="8193" width="0" style="31" hidden="1" customWidth="1"/>
    <col min="8194" max="8194" width="33.42578125" style="31" customWidth="1"/>
    <col min="8195" max="8195" width="0" style="31" hidden="1" customWidth="1"/>
    <col min="8196" max="8196" width="8.7109375" style="31" customWidth="1"/>
    <col min="8197" max="8197" width="7.5703125" style="31" customWidth="1"/>
    <col min="8198" max="8198" width="5.5703125" style="31" customWidth="1"/>
    <col min="8199" max="8199" width="8.140625" style="31" customWidth="1"/>
    <col min="8200" max="8200" width="8.5703125" style="31" customWidth="1"/>
    <col min="8201" max="8201" width="11" style="31" customWidth="1"/>
    <col min="8202" max="8204" width="9.5703125" style="31" bestFit="1" customWidth="1"/>
    <col min="8205" max="8205" width="13.42578125" style="31" customWidth="1"/>
    <col min="8206" max="8206" width="10.140625" style="31" customWidth="1"/>
    <col min="8207" max="8207" width="0" style="31" hidden="1" customWidth="1"/>
    <col min="8208" max="8208" width="11.28515625" style="31" customWidth="1"/>
    <col min="8209" max="8447" width="9.140625" style="31"/>
    <col min="8448" max="8448" width="4" style="31" customWidth="1"/>
    <col min="8449" max="8449" width="0" style="31" hidden="1" customWidth="1"/>
    <col min="8450" max="8450" width="33.42578125" style="31" customWidth="1"/>
    <col min="8451" max="8451" width="0" style="31" hidden="1" customWidth="1"/>
    <col min="8452" max="8452" width="8.7109375" style="31" customWidth="1"/>
    <col min="8453" max="8453" width="7.5703125" style="31" customWidth="1"/>
    <col min="8454" max="8454" width="5.5703125" style="31" customWidth="1"/>
    <col min="8455" max="8455" width="8.140625" style="31" customWidth="1"/>
    <col min="8456" max="8456" width="8.5703125" style="31" customWidth="1"/>
    <col min="8457" max="8457" width="11" style="31" customWidth="1"/>
    <col min="8458" max="8460" width="9.5703125" style="31" bestFit="1" customWidth="1"/>
    <col min="8461" max="8461" width="13.42578125" style="31" customWidth="1"/>
    <col min="8462" max="8462" width="10.140625" style="31" customWidth="1"/>
    <col min="8463" max="8463" width="0" style="31" hidden="1" customWidth="1"/>
    <col min="8464" max="8464" width="11.28515625" style="31" customWidth="1"/>
    <col min="8465" max="8703" width="9.140625" style="31"/>
    <col min="8704" max="8704" width="4" style="31" customWidth="1"/>
    <col min="8705" max="8705" width="0" style="31" hidden="1" customWidth="1"/>
    <col min="8706" max="8706" width="33.42578125" style="31" customWidth="1"/>
    <col min="8707" max="8707" width="0" style="31" hidden="1" customWidth="1"/>
    <col min="8708" max="8708" width="8.7109375" style="31" customWidth="1"/>
    <col min="8709" max="8709" width="7.5703125" style="31" customWidth="1"/>
    <col min="8710" max="8710" width="5.5703125" style="31" customWidth="1"/>
    <col min="8711" max="8711" width="8.140625" style="31" customWidth="1"/>
    <col min="8712" max="8712" width="8.5703125" style="31" customWidth="1"/>
    <col min="8713" max="8713" width="11" style="31" customWidth="1"/>
    <col min="8714" max="8716" width="9.5703125" style="31" bestFit="1" customWidth="1"/>
    <col min="8717" max="8717" width="13.42578125" style="31" customWidth="1"/>
    <col min="8718" max="8718" width="10.140625" style="31" customWidth="1"/>
    <col min="8719" max="8719" width="0" style="31" hidden="1" customWidth="1"/>
    <col min="8720" max="8720" width="11.28515625" style="31" customWidth="1"/>
    <col min="8721" max="8959" width="9.140625" style="31"/>
    <col min="8960" max="8960" width="4" style="31" customWidth="1"/>
    <col min="8961" max="8961" width="0" style="31" hidden="1" customWidth="1"/>
    <col min="8962" max="8962" width="33.42578125" style="31" customWidth="1"/>
    <col min="8963" max="8963" width="0" style="31" hidden="1" customWidth="1"/>
    <col min="8964" max="8964" width="8.7109375" style="31" customWidth="1"/>
    <col min="8965" max="8965" width="7.5703125" style="31" customWidth="1"/>
    <col min="8966" max="8966" width="5.5703125" style="31" customWidth="1"/>
    <col min="8967" max="8967" width="8.140625" style="31" customWidth="1"/>
    <col min="8968" max="8968" width="8.5703125" style="31" customWidth="1"/>
    <col min="8969" max="8969" width="11" style="31" customWidth="1"/>
    <col min="8970" max="8972" width="9.5703125" style="31" bestFit="1" customWidth="1"/>
    <col min="8973" max="8973" width="13.42578125" style="31" customWidth="1"/>
    <col min="8974" max="8974" width="10.140625" style="31" customWidth="1"/>
    <col min="8975" max="8975" width="0" style="31" hidden="1" customWidth="1"/>
    <col min="8976" max="8976" width="11.28515625" style="31" customWidth="1"/>
    <col min="8977" max="9215" width="9.140625" style="31"/>
    <col min="9216" max="9216" width="4" style="31" customWidth="1"/>
    <col min="9217" max="9217" width="0" style="31" hidden="1" customWidth="1"/>
    <col min="9218" max="9218" width="33.42578125" style="31" customWidth="1"/>
    <col min="9219" max="9219" width="0" style="31" hidden="1" customWidth="1"/>
    <col min="9220" max="9220" width="8.7109375" style="31" customWidth="1"/>
    <col min="9221" max="9221" width="7.5703125" style="31" customWidth="1"/>
    <col min="9222" max="9222" width="5.5703125" style="31" customWidth="1"/>
    <col min="9223" max="9223" width="8.140625" style="31" customWidth="1"/>
    <col min="9224" max="9224" width="8.5703125" style="31" customWidth="1"/>
    <col min="9225" max="9225" width="11" style="31" customWidth="1"/>
    <col min="9226" max="9228" width="9.5703125" style="31" bestFit="1" customWidth="1"/>
    <col min="9229" max="9229" width="13.42578125" style="31" customWidth="1"/>
    <col min="9230" max="9230" width="10.140625" style="31" customWidth="1"/>
    <col min="9231" max="9231" width="0" style="31" hidden="1" customWidth="1"/>
    <col min="9232" max="9232" width="11.28515625" style="31" customWidth="1"/>
    <col min="9233" max="9471" width="9.140625" style="31"/>
    <col min="9472" max="9472" width="4" style="31" customWidth="1"/>
    <col min="9473" max="9473" width="0" style="31" hidden="1" customWidth="1"/>
    <col min="9474" max="9474" width="33.42578125" style="31" customWidth="1"/>
    <col min="9475" max="9475" width="0" style="31" hidden="1" customWidth="1"/>
    <col min="9476" max="9476" width="8.7109375" style="31" customWidth="1"/>
    <col min="9477" max="9477" width="7.5703125" style="31" customWidth="1"/>
    <col min="9478" max="9478" width="5.5703125" style="31" customWidth="1"/>
    <col min="9479" max="9479" width="8.140625" style="31" customWidth="1"/>
    <col min="9480" max="9480" width="8.5703125" style="31" customWidth="1"/>
    <col min="9481" max="9481" width="11" style="31" customWidth="1"/>
    <col min="9482" max="9484" width="9.5703125" style="31" bestFit="1" customWidth="1"/>
    <col min="9485" max="9485" width="13.42578125" style="31" customWidth="1"/>
    <col min="9486" max="9486" width="10.140625" style="31" customWidth="1"/>
    <col min="9487" max="9487" width="0" style="31" hidden="1" customWidth="1"/>
    <col min="9488" max="9488" width="11.28515625" style="31" customWidth="1"/>
    <col min="9489" max="9727" width="9.140625" style="31"/>
    <col min="9728" max="9728" width="4" style="31" customWidth="1"/>
    <col min="9729" max="9729" width="0" style="31" hidden="1" customWidth="1"/>
    <col min="9730" max="9730" width="33.42578125" style="31" customWidth="1"/>
    <col min="9731" max="9731" width="0" style="31" hidden="1" customWidth="1"/>
    <col min="9732" max="9732" width="8.7109375" style="31" customWidth="1"/>
    <col min="9733" max="9733" width="7.5703125" style="31" customWidth="1"/>
    <col min="9734" max="9734" width="5.5703125" style="31" customWidth="1"/>
    <col min="9735" max="9735" width="8.140625" style="31" customWidth="1"/>
    <col min="9736" max="9736" width="8.5703125" style="31" customWidth="1"/>
    <col min="9737" max="9737" width="11" style="31" customWidth="1"/>
    <col min="9738" max="9740" width="9.5703125" style="31" bestFit="1" customWidth="1"/>
    <col min="9741" max="9741" width="13.42578125" style="31" customWidth="1"/>
    <col min="9742" max="9742" width="10.140625" style="31" customWidth="1"/>
    <col min="9743" max="9743" width="0" style="31" hidden="1" customWidth="1"/>
    <col min="9744" max="9744" width="11.28515625" style="31" customWidth="1"/>
    <col min="9745" max="9983" width="9.140625" style="31"/>
    <col min="9984" max="9984" width="4" style="31" customWidth="1"/>
    <col min="9985" max="9985" width="0" style="31" hidden="1" customWidth="1"/>
    <col min="9986" max="9986" width="33.42578125" style="31" customWidth="1"/>
    <col min="9987" max="9987" width="0" style="31" hidden="1" customWidth="1"/>
    <col min="9988" max="9988" width="8.7109375" style="31" customWidth="1"/>
    <col min="9989" max="9989" width="7.5703125" style="31" customWidth="1"/>
    <col min="9990" max="9990" width="5.5703125" style="31" customWidth="1"/>
    <col min="9991" max="9991" width="8.140625" style="31" customWidth="1"/>
    <col min="9992" max="9992" width="8.5703125" style="31" customWidth="1"/>
    <col min="9993" max="9993" width="11" style="31" customWidth="1"/>
    <col min="9994" max="9996" width="9.5703125" style="31" bestFit="1" customWidth="1"/>
    <col min="9997" max="9997" width="13.42578125" style="31" customWidth="1"/>
    <col min="9998" max="9998" width="10.140625" style="31" customWidth="1"/>
    <col min="9999" max="9999" width="0" style="31" hidden="1" customWidth="1"/>
    <col min="10000" max="10000" width="11.28515625" style="31" customWidth="1"/>
    <col min="10001" max="10239" width="9.140625" style="31"/>
    <col min="10240" max="10240" width="4" style="31" customWidth="1"/>
    <col min="10241" max="10241" width="0" style="31" hidden="1" customWidth="1"/>
    <col min="10242" max="10242" width="33.42578125" style="31" customWidth="1"/>
    <col min="10243" max="10243" width="0" style="31" hidden="1" customWidth="1"/>
    <col min="10244" max="10244" width="8.7109375" style="31" customWidth="1"/>
    <col min="10245" max="10245" width="7.5703125" style="31" customWidth="1"/>
    <col min="10246" max="10246" width="5.5703125" style="31" customWidth="1"/>
    <col min="10247" max="10247" width="8.140625" style="31" customWidth="1"/>
    <col min="10248" max="10248" width="8.5703125" style="31" customWidth="1"/>
    <col min="10249" max="10249" width="11" style="31" customWidth="1"/>
    <col min="10250" max="10252" width="9.5703125" style="31" bestFit="1" customWidth="1"/>
    <col min="10253" max="10253" width="13.42578125" style="31" customWidth="1"/>
    <col min="10254" max="10254" width="10.140625" style="31" customWidth="1"/>
    <col min="10255" max="10255" width="0" style="31" hidden="1" customWidth="1"/>
    <col min="10256" max="10256" width="11.28515625" style="31" customWidth="1"/>
    <col min="10257" max="10495" width="9.140625" style="31"/>
    <col min="10496" max="10496" width="4" style="31" customWidth="1"/>
    <col min="10497" max="10497" width="0" style="31" hidden="1" customWidth="1"/>
    <col min="10498" max="10498" width="33.42578125" style="31" customWidth="1"/>
    <col min="10499" max="10499" width="0" style="31" hidden="1" customWidth="1"/>
    <col min="10500" max="10500" width="8.7109375" style="31" customWidth="1"/>
    <col min="10501" max="10501" width="7.5703125" style="31" customWidth="1"/>
    <col min="10502" max="10502" width="5.5703125" style="31" customWidth="1"/>
    <col min="10503" max="10503" width="8.140625" style="31" customWidth="1"/>
    <col min="10504" max="10504" width="8.5703125" style="31" customWidth="1"/>
    <col min="10505" max="10505" width="11" style="31" customWidth="1"/>
    <col min="10506" max="10508" width="9.5703125" style="31" bestFit="1" customWidth="1"/>
    <col min="10509" max="10509" width="13.42578125" style="31" customWidth="1"/>
    <col min="10510" max="10510" width="10.140625" style="31" customWidth="1"/>
    <col min="10511" max="10511" width="0" style="31" hidden="1" customWidth="1"/>
    <col min="10512" max="10512" width="11.28515625" style="31" customWidth="1"/>
    <col min="10513" max="10751" width="9.140625" style="31"/>
    <col min="10752" max="10752" width="4" style="31" customWidth="1"/>
    <col min="10753" max="10753" width="0" style="31" hidden="1" customWidth="1"/>
    <col min="10754" max="10754" width="33.42578125" style="31" customWidth="1"/>
    <col min="10755" max="10755" width="0" style="31" hidden="1" customWidth="1"/>
    <col min="10756" max="10756" width="8.7109375" style="31" customWidth="1"/>
    <col min="10757" max="10757" width="7.5703125" style="31" customWidth="1"/>
    <col min="10758" max="10758" width="5.5703125" style="31" customWidth="1"/>
    <col min="10759" max="10759" width="8.140625" style="31" customWidth="1"/>
    <col min="10760" max="10760" width="8.5703125" style="31" customWidth="1"/>
    <col min="10761" max="10761" width="11" style="31" customWidth="1"/>
    <col min="10762" max="10764" width="9.5703125" style="31" bestFit="1" customWidth="1"/>
    <col min="10765" max="10765" width="13.42578125" style="31" customWidth="1"/>
    <col min="10766" max="10766" width="10.140625" style="31" customWidth="1"/>
    <col min="10767" max="10767" width="0" style="31" hidden="1" customWidth="1"/>
    <col min="10768" max="10768" width="11.28515625" style="31" customWidth="1"/>
    <col min="10769" max="11007" width="9.140625" style="31"/>
    <col min="11008" max="11008" width="4" style="31" customWidth="1"/>
    <col min="11009" max="11009" width="0" style="31" hidden="1" customWidth="1"/>
    <col min="11010" max="11010" width="33.42578125" style="31" customWidth="1"/>
    <col min="11011" max="11011" width="0" style="31" hidden="1" customWidth="1"/>
    <col min="11012" max="11012" width="8.7109375" style="31" customWidth="1"/>
    <col min="11013" max="11013" width="7.5703125" style="31" customWidth="1"/>
    <col min="11014" max="11014" width="5.5703125" style="31" customWidth="1"/>
    <col min="11015" max="11015" width="8.140625" style="31" customWidth="1"/>
    <col min="11016" max="11016" width="8.5703125" style="31" customWidth="1"/>
    <col min="11017" max="11017" width="11" style="31" customWidth="1"/>
    <col min="11018" max="11020" width="9.5703125" style="31" bestFit="1" customWidth="1"/>
    <col min="11021" max="11021" width="13.42578125" style="31" customWidth="1"/>
    <col min="11022" max="11022" width="10.140625" style="31" customWidth="1"/>
    <col min="11023" max="11023" width="0" style="31" hidden="1" customWidth="1"/>
    <col min="11024" max="11024" width="11.28515625" style="31" customWidth="1"/>
    <col min="11025" max="11263" width="9.140625" style="31"/>
    <col min="11264" max="11264" width="4" style="31" customWidth="1"/>
    <col min="11265" max="11265" width="0" style="31" hidden="1" customWidth="1"/>
    <col min="11266" max="11266" width="33.42578125" style="31" customWidth="1"/>
    <col min="11267" max="11267" width="0" style="31" hidden="1" customWidth="1"/>
    <col min="11268" max="11268" width="8.7109375" style="31" customWidth="1"/>
    <col min="11269" max="11269" width="7.5703125" style="31" customWidth="1"/>
    <col min="11270" max="11270" width="5.5703125" style="31" customWidth="1"/>
    <col min="11271" max="11271" width="8.140625" style="31" customWidth="1"/>
    <col min="11272" max="11272" width="8.5703125" style="31" customWidth="1"/>
    <col min="11273" max="11273" width="11" style="31" customWidth="1"/>
    <col min="11274" max="11276" width="9.5703125" style="31" bestFit="1" customWidth="1"/>
    <col min="11277" max="11277" width="13.42578125" style="31" customWidth="1"/>
    <col min="11278" max="11278" width="10.140625" style="31" customWidth="1"/>
    <col min="11279" max="11279" width="0" style="31" hidden="1" customWidth="1"/>
    <col min="11280" max="11280" width="11.28515625" style="31" customWidth="1"/>
    <col min="11281" max="11519" width="9.140625" style="31"/>
    <col min="11520" max="11520" width="4" style="31" customWidth="1"/>
    <col min="11521" max="11521" width="0" style="31" hidden="1" customWidth="1"/>
    <col min="11522" max="11522" width="33.42578125" style="31" customWidth="1"/>
    <col min="11523" max="11523" width="0" style="31" hidden="1" customWidth="1"/>
    <col min="11524" max="11524" width="8.7109375" style="31" customWidth="1"/>
    <col min="11525" max="11525" width="7.5703125" style="31" customWidth="1"/>
    <col min="11526" max="11526" width="5.5703125" style="31" customWidth="1"/>
    <col min="11527" max="11527" width="8.140625" style="31" customWidth="1"/>
    <col min="11528" max="11528" width="8.5703125" style="31" customWidth="1"/>
    <col min="11529" max="11529" width="11" style="31" customWidth="1"/>
    <col min="11530" max="11532" width="9.5703125" style="31" bestFit="1" customWidth="1"/>
    <col min="11533" max="11533" width="13.42578125" style="31" customWidth="1"/>
    <col min="11534" max="11534" width="10.140625" style="31" customWidth="1"/>
    <col min="11535" max="11535" width="0" style="31" hidden="1" customWidth="1"/>
    <col min="11536" max="11536" width="11.28515625" style="31" customWidth="1"/>
    <col min="11537" max="11775" width="9.140625" style="31"/>
    <col min="11776" max="11776" width="4" style="31" customWidth="1"/>
    <col min="11777" max="11777" width="0" style="31" hidden="1" customWidth="1"/>
    <col min="11778" max="11778" width="33.42578125" style="31" customWidth="1"/>
    <col min="11779" max="11779" width="0" style="31" hidden="1" customWidth="1"/>
    <col min="11780" max="11780" width="8.7109375" style="31" customWidth="1"/>
    <col min="11781" max="11781" width="7.5703125" style="31" customWidth="1"/>
    <col min="11782" max="11782" width="5.5703125" style="31" customWidth="1"/>
    <col min="11783" max="11783" width="8.140625" style="31" customWidth="1"/>
    <col min="11784" max="11784" width="8.5703125" style="31" customWidth="1"/>
    <col min="11785" max="11785" width="11" style="31" customWidth="1"/>
    <col min="11786" max="11788" width="9.5703125" style="31" bestFit="1" customWidth="1"/>
    <col min="11789" max="11789" width="13.42578125" style="31" customWidth="1"/>
    <col min="11790" max="11790" width="10.140625" style="31" customWidth="1"/>
    <col min="11791" max="11791" width="0" style="31" hidden="1" customWidth="1"/>
    <col min="11792" max="11792" width="11.28515625" style="31" customWidth="1"/>
    <col min="11793" max="12031" width="9.140625" style="31"/>
    <col min="12032" max="12032" width="4" style="31" customWidth="1"/>
    <col min="12033" max="12033" width="0" style="31" hidden="1" customWidth="1"/>
    <col min="12034" max="12034" width="33.42578125" style="31" customWidth="1"/>
    <col min="12035" max="12035" width="0" style="31" hidden="1" customWidth="1"/>
    <col min="12036" max="12036" width="8.7109375" style="31" customWidth="1"/>
    <col min="12037" max="12037" width="7.5703125" style="31" customWidth="1"/>
    <col min="12038" max="12038" width="5.5703125" style="31" customWidth="1"/>
    <col min="12039" max="12039" width="8.140625" style="31" customWidth="1"/>
    <col min="12040" max="12040" width="8.5703125" style="31" customWidth="1"/>
    <col min="12041" max="12041" width="11" style="31" customWidth="1"/>
    <col min="12042" max="12044" width="9.5703125" style="31" bestFit="1" customWidth="1"/>
    <col min="12045" max="12045" width="13.42578125" style="31" customWidth="1"/>
    <col min="12046" max="12046" width="10.140625" style="31" customWidth="1"/>
    <col min="12047" max="12047" width="0" style="31" hidden="1" customWidth="1"/>
    <col min="12048" max="12048" width="11.28515625" style="31" customWidth="1"/>
    <col min="12049" max="12287" width="9.140625" style="31"/>
    <col min="12288" max="12288" width="4" style="31" customWidth="1"/>
    <col min="12289" max="12289" width="0" style="31" hidden="1" customWidth="1"/>
    <col min="12290" max="12290" width="33.42578125" style="31" customWidth="1"/>
    <col min="12291" max="12291" width="0" style="31" hidden="1" customWidth="1"/>
    <col min="12292" max="12292" width="8.7109375" style="31" customWidth="1"/>
    <col min="12293" max="12293" width="7.5703125" style="31" customWidth="1"/>
    <col min="12294" max="12294" width="5.5703125" style="31" customWidth="1"/>
    <col min="12295" max="12295" width="8.140625" style="31" customWidth="1"/>
    <col min="12296" max="12296" width="8.5703125" style="31" customWidth="1"/>
    <col min="12297" max="12297" width="11" style="31" customWidth="1"/>
    <col min="12298" max="12300" width="9.5703125" style="31" bestFit="1" customWidth="1"/>
    <col min="12301" max="12301" width="13.42578125" style="31" customWidth="1"/>
    <col min="12302" max="12302" width="10.140625" style="31" customWidth="1"/>
    <col min="12303" max="12303" width="0" style="31" hidden="1" customWidth="1"/>
    <col min="12304" max="12304" width="11.28515625" style="31" customWidth="1"/>
    <col min="12305" max="12543" width="9.140625" style="31"/>
    <col min="12544" max="12544" width="4" style="31" customWidth="1"/>
    <col min="12545" max="12545" width="0" style="31" hidden="1" customWidth="1"/>
    <col min="12546" max="12546" width="33.42578125" style="31" customWidth="1"/>
    <col min="12547" max="12547" width="0" style="31" hidden="1" customWidth="1"/>
    <col min="12548" max="12548" width="8.7109375" style="31" customWidth="1"/>
    <col min="12549" max="12549" width="7.5703125" style="31" customWidth="1"/>
    <col min="12550" max="12550" width="5.5703125" style="31" customWidth="1"/>
    <col min="12551" max="12551" width="8.140625" style="31" customWidth="1"/>
    <col min="12552" max="12552" width="8.5703125" style="31" customWidth="1"/>
    <col min="12553" max="12553" width="11" style="31" customWidth="1"/>
    <col min="12554" max="12556" width="9.5703125" style="31" bestFit="1" customWidth="1"/>
    <col min="12557" max="12557" width="13.42578125" style="31" customWidth="1"/>
    <col min="12558" max="12558" width="10.140625" style="31" customWidth="1"/>
    <col min="12559" max="12559" width="0" style="31" hidden="1" customWidth="1"/>
    <col min="12560" max="12560" width="11.28515625" style="31" customWidth="1"/>
    <col min="12561" max="12799" width="9.140625" style="31"/>
    <col min="12800" max="12800" width="4" style="31" customWidth="1"/>
    <col min="12801" max="12801" width="0" style="31" hidden="1" customWidth="1"/>
    <col min="12802" max="12802" width="33.42578125" style="31" customWidth="1"/>
    <col min="12803" max="12803" width="0" style="31" hidden="1" customWidth="1"/>
    <col min="12804" max="12804" width="8.7109375" style="31" customWidth="1"/>
    <col min="12805" max="12805" width="7.5703125" style="31" customWidth="1"/>
    <col min="12806" max="12806" width="5.5703125" style="31" customWidth="1"/>
    <col min="12807" max="12807" width="8.140625" style="31" customWidth="1"/>
    <col min="12808" max="12808" width="8.5703125" style="31" customWidth="1"/>
    <col min="12809" max="12809" width="11" style="31" customWidth="1"/>
    <col min="12810" max="12812" width="9.5703125" style="31" bestFit="1" customWidth="1"/>
    <col min="12813" max="12813" width="13.42578125" style="31" customWidth="1"/>
    <col min="12814" max="12814" width="10.140625" style="31" customWidth="1"/>
    <col min="12815" max="12815" width="0" style="31" hidden="1" customWidth="1"/>
    <col min="12816" max="12816" width="11.28515625" style="31" customWidth="1"/>
    <col min="12817" max="13055" width="9.140625" style="31"/>
    <col min="13056" max="13056" width="4" style="31" customWidth="1"/>
    <col min="13057" max="13057" width="0" style="31" hidden="1" customWidth="1"/>
    <col min="13058" max="13058" width="33.42578125" style="31" customWidth="1"/>
    <col min="13059" max="13059" width="0" style="31" hidden="1" customWidth="1"/>
    <col min="13060" max="13060" width="8.7109375" style="31" customWidth="1"/>
    <col min="13061" max="13061" width="7.5703125" style="31" customWidth="1"/>
    <col min="13062" max="13062" width="5.5703125" style="31" customWidth="1"/>
    <col min="13063" max="13063" width="8.140625" style="31" customWidth="1"/>
    <col min="13064" max="13064" width="8.5703125" style="31" customWidth="1"/>
    <col min="13065" max="13065" width="11" style="31" customWidth="1"/>
    <col min="13066" max="13068" width="9.5703125" style="31" bestFit="1" customWidth="1"/>
    <col min="13069" max="13069" width="13.42578125" style="31" customWidth="1"/>
    <col min="13070" max="13070" width="10.140625" style="31" customWidth="1"/>
    <col min="13071" max="13071" width="0" style="31" hidden="1" customWidth="1"/>
    <col min="13072" max="13072" width="11.28515625" style="31" customWidth="1"/>
    <col min="13073" max="13311" width="9.140625" style="31"/>
    <col min="13312" max="13312" width="4" style="31" customWidth="1"/>
    <col min="13313" max="13313" width="0" style="31" hidden="1" customWidth="1"/>
    <col min="13314" max="13314" width="33.42578125" style="31" customWidth="1"/>
    <col min="13315" max="13315" width="0" style="31" hidden="1" customWidth="1"/>
    <col min="13316" max="13316" width="8.7109375" style="31" customWidth="1"/>
    <col min="13317" max="13317" width="7.5703125" style="31" customWidth="1"/>
    <col min="13318" max="13318" width="5.5703125" style="31" customWidth="1"/>
    <col min="13319" max="13319" width="8.140625" style="31" customWidth="1"/>
    <col min="13320" max="13320" width="8.5703125" style="31" customWidth="1"/>
    <col min="13321" max="13321" width="11" style="31" customWidth="1"/>
    <col min="13322" max="13324" width="9.5703125" style="31" bestFit="1" customWidth="1"/>
    <col min="13325" max="13325" width="13.42578125" style="31" customWidth="1"/>
    <col min="13326" max="13326" width="10.140625" style="31" customWidth="1"/>
    <col min="13327" max="13327" width="0" style="31" hidden="1" customWidth="1"/>
    <col min="13328" max="13328" width="11.28515625" style="31" customWidth="1"/>
    <col min="13329" max="13567" width="9.140625" style="31"/>
    <col min="13568" max="13568" width="4" style="31" customWidth="1"/>
    <col min="13569" max="13569" width="0" style="31" hidden="1" customWidth="1"/>
    <col min="13570" max="13570" width="33.42578125" style="31" customWidth="1"/>
    <col min="13571" max="13571" width="0" style="31" hidden="1" customWidth="1"/>
    <col min="13572" max="13572" width="8.7109375" style="31" customWidth="1"/>
    <col min="13573" max="13573" width="7.5703125" style="31" customWidth="1"/>
    <col min="13574" max="13574" width="5.5703125" style="31" customWidth="1"/>
    <col min="13575" max="13575" width="8.140625" style="31" customWidth="1"/>
    <col min="13576" max="13576" width="8.5703125" style="31" customWidth="1"/>
    <col min="13577" max="13577" width="11" style="31" customWidth="1"/>
    <col min="13578" max="13580" width="9.5703125" style="31" bestFit="1" customWidth="1"/>
    <col min="13581" max="13581" width="13.42578125" style="31" customWidth="1"/>
    <col min="13582" max="13582" width="10.140625" style="31" customWidth="1"/>
    <col min="13583" max="13583" width="0" style="31" hidden="1" customWidth="1"/>
    <col min="13584" max="13584" width="11.28515625" style="31" customWidth="1"/>
    <col min="13585" max="13823" width="9.140625" style="31"/>
    <col min="13824" max="13824" width="4" style="31" customWidth="1"/>
    <col min="13825" max="13825" width="0" style="31" hidden="1" customWidth="1"/>
    <col min="13826" max="13826" width="33.42578125" style="31" customWidth="1"/>
    <col min="13827" max="13827" width="0" style="31" hidden="1" customWidth="1"/>
    <col min="13828" max="13828" width="8.7109375" style="31" customWidth="1"/>
    <col min="13829" max="13829" width="7.5703125" style="31" customWidth="1"/>
    <col min="13830" max="13830" width="5.5703125" style="31" customWidth="1"/>
    <col min="13831" max="13831" width="8.140625" style="31" customWidth="1"/>
    <col min="13832" max="13832" width="8.5703125" style="31" customWidth="1"/>
    <col min="13833" max="13833" width="11" style="31" customWidth="1"/>
    <col min="13834" max="13836" width="9.5703125" style="31" bestFit="1" customWidth="1"/>
    <col min="13837" max="13837" width="13.42578125" style="31" customWidth="1"/>
    <col min="13838" max="13838" width="10.140625" style="31" customWidth="1"/>
    <col min="13839" max="13839" width="0" style="31" hidden="1" customWidth="1"/>
    <col min="13840" max="13840" width="11.28515625" style="31" customWidth="1"/>
    <col min="13841" max="14079" width="9.140625" style="31"/>
    <col min="14080" max="14080" width="4" style="31" customWidth="1"/>
    <col min="14081" max="14081" width="0" style="31" hidden="1" customWidth="1"/>
    <col min="14082" max="14082" width="33.42578125" style="31" customWidth="1"/>
    <col min="14083" max="14083" width="0" style="31" hidden="1" customWidth="1"/>
    <col min="14084" max="14084" width="8.7109375" style="31" customWidth="1"/>
    <col min="14085" max="14085" width="7.5703125" style="31" customWidth="1"/>
    <col min="14086" max="14086" width="5.5703125" style="31" customWidth="1"/>
    <col min="14087" max="14087" width="8.140625" style="31" customWidth="1"/>
    <col min="14088" max="14088" width="8.5703125" style="31" customWidth="1"/>
    <col min="14089" max="14089" width="11" style="31" customWidth="1"/>
    <col min="14090" max="14092" width="9.5703125" style="31" bestFit="1" customWidth="1"/>
    <col min="14093" max="14093" width="13.42578125" style="31" customWidth="1"/>
    <col min="14094" max="14094" width="10.140625" style="31" customWidth="1"/>
    <col min="14095" max="14095" width="0" style="31" hidden="1" customWidth="1"/>
    <col min="14096" max="14096" width="11.28515625" style="31" customWidth="1"/>
    <col min="14097" max="14335" width="9.140625" style="31"/>
    <col min="14336" max="14336" width="4" style="31" customWidth="1"/>
    <col min="14337" max="14337" width="0" style="31" hidden="1" customWidth="1"/>
    <col min="14338" max="14338" width="33.42578125" style="31" customWidth="1"/>
    <col min="14339" max="14339" width="0" style="31" hidden="1" customWidth="1"/>
    <col min="14340" max="14340" width="8.7109375" style="31" customWidth="1"/>
    <col min="14341" max="14341" width="7.5703125" style="31" customWidth="1"/>
    <col min="14342" max="14342" width="5.5703125" style="31" customWidth="1"/>
    <col min="14343" max="14343" width="8.140625" style="31" customWidth="1"/>
    <col min="14344" max="14344" width="8.5703125" style="31" customWidth="1"/>
    <col min="14345" max="14345" width="11" style="31" customWidth="1"/>
    <col min="14346" max="14348" width="9.5703125" style="31" bestFit="1" customWidth="1"/>
    <col min="14349" max="14349" width="13.42578125" style="31" customWidth="1"/>
    <col min="14350" max="14350" width="10.140625" style="31" customWidth="1"/>
    <col min="14351" max="14351" width="0" style="31" hidden="1" customWidth="1"/>
    <col min="14352" max="14352" width="11.28515625" style="31" customWidth="1"/>
    <col min="14353" max="14591" width="9.140625" style="31"/>
    <col min="14592" max="14592" width="4" style="31" customWidth="1"/>
    <col min="14593" max="14593" width="0" style="31" hidden="1" customWidth="1"/>
    <col min="14594" max="14594" width="33.42578125" style="31" customWidth="1"/>
    <col min="14595" max="14595" width="0" style="31" hidden="1" customWidth="1"/>
    <col min="14596" max="14596" width="8.7109375" style="31" customWidth="1"/>
    <col min="14597" max="14597" width="7.5703125" style="31" customWidth="1"/>
    <col min="14598" max="14598" width="5.5703125" style="31" customWidth="1"/>
    <col min="14599" max="14599" width="8.140625" style="31" customWidth="1"/>
    <col min="14600" max="14600" width="8.5703125" style="31" customWidth="1"/>
    <col min="14601" max="14601" width="11" style="31" customWidth="1"/>
    <col min="14602" max="14604" width="9.5703125" style="31" bestFit="1" customWidth="1"/>
    <col min="14605" max="14605" width="13.42578125" style="31" customWidth="1"/>
    <col min="14606" max="14606" width="10.140625" style="31" customWidth="1"/>
    <col min="14607" max="14607" width="0" style="31" hidden="1" customWidth="1"/>
    <col min="14608" max="14608" width="11.28515625" style="31" customWidth="1"/>
    <col min="14609" max="14847" width="9.140625" style="31"/>
    <col min="14848" max="14848" width="4" style="31" customWidth="1"/>
    <col min="14849" max="14849" width="0" style="31" hidden="1" customWidth="1"/>
    <col min="14850" max="14850" width="33.42578125" style="31" customWidth="1"/>
    <col min="14851" max="14851" width="0" style="31" hidden="1" customWidth="1"/>
    <col min="14852" max="14852" width="8.7109375" style="31" customWidth="1"/>
    <col min="14853" max="14853" width="7.5703125" style="31" customWidth="1"/>
    <col min="14854" max="14854" width="5.5703125" style="31" customWidth="1"/>
    <col min="14855" max="14855" width="8.140625" style="31" customWidth="1"/>
    <col min="14856" max="14856" width="8.5703125" style="31" customWidth="1"/>
    <col min="14857" max="14857" width="11" style="31" customWidth="1"/>
    <col min="14858" max="14860" width="9.5703125" style="31" bestFit="1" customWidth="1"/>
    <col min="14861" max="14861" width="13.42578125" style="31" customWidth="1"/>
    <col min="14862" max="14862" width="10.140625" style="31" customWidth="1"/>
    <col min="14863" max="14863" width="0" style="31" hidden="1" customWidth="1"/>
    <col min="14864" max="14864" width="11.28515625" style="31" customWidth="1"/>
    <col min="14865" max="15103" width="9.140625" style="31"/>
    <col min="15104" max="15104" width="4" style="31" customWidth="1"/>
    <col min="15105" max="15105" width="0" style="31" hidden="1" customWidth="1"/>
    <col min="15106" max="15106" width="33.42578125" style="31" customWidth="1"/>
    <col min="15107" max="15107" width="0" style="31" hidden="1" customWidth="1"/>
    <col min="15108" max="15108" width="8.7109375" style="31" customWidth="1"/>
    <col min="15109" max="15109" width="7.5703125" style="31" customWidth="1"/>
    <col min="15110" max="15110" width="5.5703125" style="31" customWidth="1"/>
    <col min="15111" max="15111" width="8.140625" style="31" customWidth="1"/>
    <col min="15112" max="15112" width="8.5703125" style="31" customWidth="1"/>
    <col min="15113" max="15113" width="11" style="31" customWidth="1"/>
    <col min="15114" max="15116" width="9.5703125" style="31" bestFit="1" customWidth="1"/>
    <col min="15117" max="15117" width="13.42578125" style="31" customWidth="1"/>
    <col min="15118" max="15118" width="10.140625" style="31" customWidth="1"/>
    <col min="15119" max="15119" width="0" style="31" hidden="1" customWidth="1"/>
    <col min="15120" max="15120" width="11.28515625" style="31" customWidth="1"/>
    <col min="15121" max="15359" width="9.140625" style="31"/>
    <col min="15360" max="15360" width="4" style="31" customWidth="1"/>
    <col min="15361" max="15361" width="0" style="31" hidden="1" customWidth="1"/>
    <col min="15362" max="15362" width="33.42578125" style="31" customWidth="1"/>
    <col min="15363" max="15363" width="0" style="31" hidden="1" customWidth="1"/>
    <col min="15364" max="15364" width="8.7109375" style="31" customWidth="1"/>
    <col min="15365" max="15365" width="7.5703125" style="31" customWidth="1"/>
    <col min="15366" max="15366" width="5.5703125" style="31" customWidth="1"/>
    <col min="15367" max="15367" width="8.140625" style="31" customWidth="1"/>
    <col min="15368" max="15368" width="8.5703125" style="31" customWidth="1"/>
    <col min="15369" max="15369" width="11" style="31" customWidth="1"/>
    <col min="15370" max="15372" width="9.5703125" style="31" bestFit="1" customWidth="1"/>
    <col min="15373" max="15373" width="13.42578125" style="31" customWidth="1"/>
    <col min="15374" max="15374" width="10.140625" style="31" customWidth="1"/>
    <col min="15375" max="15375" width="0" style="31" hidden="1" customWidth="1"/>
    <col min="15376" max="15376" width="11.28515625" style="31" customWidth="1"/>
    <col min="15377" max="15615" width="9.140625" style="31"/>
    <col min="15616" max="15616" width="4" style="31" customWidth="1"/>
    <col min="15617" max="15617" width="0" style="31" hidden="1" customWidth="1"/>
    <col min="15618" max="15618" width="33.42578125" style="31" customWidth="1"/>
    <col min="15619" max="15619" width="0" style="31" hidden="1" customWidth="1"/>
    <col min="15620" max="15620" width="8.7109375" style="31" customWidth="1"/>
    <col min="15621" max="15621" width="7.5703125" style="31" customWidth="1"/>
    <col min="15622" max="15622" width="5.5703125" style="31" customWidth="1"/>
    <col min="15623" max="15623" width="8.140625" style="31" customWidth="1"/>
    <col min="15624" max="15624" width="8.5703125" style="31" customWidth="1"/>
    <col min="15625" max="15625" width="11" style="31" customWidth="1"/>
    <col min="15626" max="15628" width="9.5703125" style="31" bestFit="1" customWidth="1"/>
    <col min="15629" max="15629" width="13.42578125" style="31" customWidth="1"/>
    <col min="15630" max="15630" width="10.140625" style="31" customWidth="1"/>
    <col min="15631" max="15631" width="0" style="31" hidden="1" customWidth="1"/>
    <col min="15632" max="15632" width="11.28515625" style="31" customWidth="1"/>
    <col min="15633" max="15871" width="9.140625" style="31"/>
    <col min="15872" max="15872" width="4" style="31" customWidth="1"/>
    <col min="15873" max="15873" width="0" style="31" hidden="1" customWidth="1"/>
    <col min="15874" max="15874" width="33.42578125" style="31" customWidth="1"/>
    <col min="15875" max="15875" width="0" style="31" hidden="1" customWidth="1"/>
    <col min="15876" max="15876" width="8.7109375" style="31" customWidth="1"/>
    <col min="15877" max="15877" width="7.5703125" style="31" customWidth="1"/>
    <col min="15878" max="15878" width="5.5703125" style="31" customWidth="1"/>
    <col min="15879" max="15879" width="8.140625" style="31" customWidth="1"/>
    <col min="15880" max="15880" width="8.5703125" style="31" customWidth="1"/>
    <col min="15881" max="15881" width="11" style="31" customWidth="1"/>
    <col min="15882" max="15884" width="9.5703125" style="31" bestFit="1" customWidth="1"/>
    <col min="15885" max="15885" width="13.42578125" style="31" customWidth="1"/>
    <col min="15886" max="15886" width="10.140625" style="31" customWidth="1"/>
    <col min="15887" max="15887" width="0" style="31" hidden="1" customWidth="1"/>
    <col min="15888" max="15888" width="11.28515625" style="31" customWidth="1"/>
    <col min="15889" max="16127" width="9.140625" style="31"/>
    <col min="16128" max="16128" width="4" style="31" customWidth="1"/>
    <col min="16129" max="16129" width="0" style="31" hidden="1" customWidth="1"/>
    <col min="16130" max="16130" width="33.42578125" style="31" customWidth="1"/>
    <col min="16131" max="16131" width="0" style="31" hidden="1" customWidth="1"/>
    <col min="16132" max="16132" width="8.7109375" style="31" customWidth="1"/>
    <col min="16133" max="16133" width="7.5703125" style="31" customWidth="1"/>
    <col min="16134" max="16134" width="5.5703125" style="31" customWidth="1"/>
    <col min="16135" max="16135" width="8.140625" style="31" customWidth="1"/>
    <col min="16136" max="16136" width="8.5703125" style="31" customWidth="1"/>
    <col min="16137" max="16137" width="11" style="31" customWidth="1"/>
    <col min="16138" max="16140" width="9.5703125" style="31" bestFit="1" customWidth="1"/>
    <col min="16141" max="16141" width="13.42578125" style="31" customWidth="1"/>
    <col min="16142" max="16142" width="10.140625" style="31" customWidth="1"/>
    <col min="16143" max="16143" width="0" style="31" hidden="1" customWidth="1"/>
    <col min="16144" max="16144" width="11.28515625" style="31" customWidth="1"/>
    <col min="16145" max="16384" width="9.140625" style="31"/>
  </cols>
  <sheetData>
    <row r="1" spans="1:16" ht="23.25">
      <c r="A1" s="317" t="s">
        <v>2756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</row>
    <row r="2" spans="1:16" ht="15" thickBot="1">
      <c r="C2" s="32"/>
      <c r="D2" s="32"/>
    </row>
    <row r="3" spans="1:16">
      <c r="A3" s="98" t="s">
        <v>2757</v>
      </c>
      <c r="B3" s="162"/>
      <c r="C3" s="40"/>
      <c r="D3" s="266" t="s">
        <v>2826</v>
      </c>
      <c r="E3" s="267"/>
      <c r="F3" s="267"/>
      <c r="G3" s="267"/>
      <c r="H3" s="267"/>
      <c r="I3" s="267"/>
      <c r="J3" s="267"/>
      <c r="K3" s="268"/>
      <c r="L3" s="266" t="s">
        <v>2759</v>
      </c>
      <c r="M3" s="267"/>
      <c r="N3" s="268"/>
      <c r="O3" s="266" t="s">
        <v>2760</v>
      </c>
      <c r="P3" s="269"/>
    </row>
    <row r="4" spans="1:16">
      <c r="A4" s="41" t="s">
        <v>2761</v>
      </c>
      <c r="B4" s="163"/>
      <c r="C4" s="42"/>
      <c r="D4" s="270" t="s">
        <v>2827</v>
      </c>
      <c r="E4" s="271"/>
      <c r="F4" s="271"/>
      <c r="G4" s="271"/>
      <c r="H4" s="271"/>
      <c r="I4" s="271"/>
      <c r="J4" s="271"/>
      <c r="K4" s="272"/>
      <c r="L4" s="273">
        <v>44298</v>
      </c>
      <c r="M4" s="274"/>
      <c r="N4" s="275"/>
      <c r="O4" s="276">
        <v>1</v>
      </c>
      <c r="P4" s="332"/>
    </row>
    <row r="5" spans="1:16">
      <c r="A5" s="41" t="s">
        <v>2763</v>
      </c>
      <c r="B5" s="163"/>
      <c r="C5" s="42"/>
      <c r="D5" s="278" t="s">
        <v>2764</v>
      </c>
      <c r="E5" s="279"/>
      <c r="F5" s="279"/>
      <c r="G5" s="279"/>
      <c r="H5" s="279"/>
      <c r="I5" s="279"/>
      <c r="J5" s="279"/>
      <c r="K5" s="280"/>
      <c r="L5" s="278" t="s">
        <v>2765</v>
      </c>
      <c r="M5" s="279"/>
      <c r="N5" s="280"/>
      <c r="O5" s="278" t="s">
        <v>2766</v>
      </c>
      <c r="P5" s="281"/>
    </row>
    <row r="6" spans="1:16">
      <c r="A6" s="41" t="s">
        <v>2767</v>
      </c>
      <c r="B6" s="163"/>
      <c r="C6" s="42"/>
      <c r="D6" s="282" t="s">
        <v>2828</v>
      </c>
      <c r="E6" s="283"/>
      <c r="F6" s="283"/>
      <c r="G6" s="283"/>
      <c r="H6" s="283"/>
      <c r="I6" s="283"/>
      <c r="J6" s="283"/>
      <c r="K6" s="284"/>
      <c r="L6" s="333" t="s">
        <v>2829</v>
      </c>
      <c r="M6" s="334"/>
      <c r="N6" s="335"/>
      <c r="O6" s="288"/>
      <c r="P6" s="289"/>
    </row>
    <row r="7" spans="1:16">
      <c r="A7" s="290" t="s">
        <v>2770</v>
      </c>
      <c r="B7" s="291"/>
      <c r="C7" s="291"/>
      <c r="D7" s="292" t="s">
        <v>2771</v>
      </c>
      <c r="E7" s="293"/>
      <c r="F7" s="293"/>
      <c r="G7" s="293"/>
      <c r="H7" s="293"/>
      <c r="I7" s="293"/>
      <c r="J7" s="293"/>
      <c r="K7" s="294"/>
      <c r="L7" s="278" t="s">
        <v>2772</v>
      </c>
      <c r="M7" s="279"/>
      <c r="N7" s="280"/>
      <c r="O7" s="278" t="s">
        <v>2773</v>
      </c>
      <c r="P7" s="281"/>
    </row>
    <row r="8" spans="1:16">
      <c r="A8" s="290"/>
      <c r="B8" s="291"/>
      <c r="C8" s="291"/>
      <c r="D8" s="282" t="s">
        <v>2830</v>
      </c>
      <c r="E8" s="283"/>
      <c r="F8" s="283"/>
      <c r="G8" s="283"/>
      <c r="H8" s="283"/>
      <c r="I8" s="283"/>
      <c r="J8" s="283"/>
      <c r="K8" s="284"/>
      <c r="L8" s="282"/>
      <c r="M8" s="283"/>
      <c r="N8" s="284"/>
      <c r="O8" s="295" t="s">
        <v>2814</v>
      </c>
      <c r="P8" s="296"/>
    </row>
    <row r="9" spans="1:16" ht="15">
      <c r="A9" s="319" t="s">
        <v>2776</v>
      </c>
      <c r="B9" s="322" t="s">
        <v>2852</v>
      </c>
      <c r="C9" s="321" t="s">
        <v>2777</v>
      </c>
      <c r="D9" s="323"/>
      <c r="E9" s="323"/>
      <c r="F9" s="323"/>
      <c r="G9" s="338" t="s">
        <v>2779</v>
      </c>
      <c r="H9" s="339"/>
      <c r="I9" s="339"/>
      <c r="J9" s="339"/>
      <c r="K9" s="339"/>
      <c r="L9" s="339"/>
      <c r="M9" s="340"/>
      <c r="N9" s="341" t="s">
        <v>484</v>
      </c>
      <c r="O9" s="322" t="s">
        <v>2781</v>
      </c>
      <c r="P9" s="327" t="s">
        <v>2782</v>
      </c>
    </row>
    <row r="10" spans="1:16" ht="30">
      <c r="A10" s="319"/>
      <c r="B10" s="326"/>
      <c r="C10" s="321"/>
      <c r="D10" s="129" t="s">
        <v>2831</v>
      </c>
      <c r="E10" s="129" t="s">
        <v>2832</v>
      </c>
      <c r="F10" s="129" t="s">
        <v>2833</v>
      </c>
      <c r="G10" s="130" t="s">
        <v>2834</v>
      </c>
      <c r="H10" s="130" t="s">
        <v>2835</v>
      </c>
      <c r="I10" s="130" t="s">
        <v>2836</v>
      </c>
      <c r="J10" s="129" t="s">
        <v>2789</v>
      </c>
      <c r="K10" s="129" t="s">
        <v>2837</v>
      </c>
      <c r="L10" s="131" t="s">
        <v>2791</v>
      </c>
      <c r="M10" s="129" t="s">
        <v>1692</v>
      </c>
      <c r="N10" s="341"/>
      <c r="O10" s="326"/>
      <c r="P10" s="327"/>
    </row>
    <row r="11" spans="1:16" ht="15" hidden="1">
      <c r="A11" s="342"/>
      <c r="B11" s="343"/>
      <c r="C11" s="343"/>
      <c r="D11" s="343"/>
      <c r="E11" s="343"/>
      <c r="F11" s="343"/>
      <c r="G11" s="343"/>
      <c r="H11" s="343"/>
      <c r="I11" s="344"/>
      <c r="J11" s="132"/>
      <c r="K11" s="133"/>
      <c r="L11" s="134"/>
      <c r="M11" s="134"/>
      <c r="N11" s="135"/>
      <c r="O11" s="136"/>
      <c r="P11" s="345" t="s">
        <v>2838</v>
      </c>
    </row>
    <row r="12" spans="1:16" ht="43.5">
      <c r="A12" s="137">
        <v>1</v>
      </c>
      <c r="B12" s="125"/>
      <c r="C12" s="50" t="s">
        <v>2839</v>
      </c>
      <c r="D12" s="109">
        <v>61</v>
      </c>
      <c r="E12" s="109">
        <v>40.6</v>
      </c>
      <c r="F12" s="138">
        <v>3</v>
      </c>
      <c r="G12" s="118">
        <v>510</v>
      </c>
      <c r="H12" s="112">
        <f>G12/M12</f>
        <v>15</v>
      </c>
      <c r="I12" s="139">
        <f>D12*E12*G12/10000</f>
        <v>126.3066</v>
      </c>
      <c r="J12" s="140">
        <f>D12*E12*F12*G12/1000000</f>
        <v>3.7891979999999994</v>
      </c>
      <c r="K12" s="133">
        <f>J12*2.7</f>
        <v>10.2308346</v>
      </c>
      <c r="L12" s="134">
        <f>K12/20</f>
        <v>0.51154173000000003</v>
      </c>
      <c r="M12" s="141">
        <v>34</v>
      </c>
      <c r="N12" s="347" t="s">
        <v>2840</v>
      </c>
      <c r="O12" s="142"/>
      <c r="P12" s="346"/>
    </row>
    <row r="13" spans="1:16" ht="57.75">
      <c r="A13" s="108">
        <v>2</v>
      </c>
      <c r="B13" s="125"/>
      <c r="C13" s="50" t="s">
        <v>2841</v>
      </c>
      <c r="D13" s="109">
        <v>61</v>
      </c>
      <c r="E13" s="109">
        <v>40.6</v>
      </c>
      <c r="F13" s="138">
        <v>5</v>
      </c>
      <c r="G13" s="118">
        <v>140</v>
      </c>
      <c r="H13" s="112">
        <f>G13/M13</f>
        <v>7</v>
      </c>
      <c r="I13" s="139">
        <f>D13*E13*G13/10000</f>
        <v>34.672400000000003</v>
      </c>
      <c r="J13" s="140">
        <f>D13*E13*F13*G13/1000000</f>
        <v>1.7336199999999999</v>
      </c>
      <c r="K13" s="133">
        <f>J13*2.7</f>
        <v>4.6807740000000004</v>
      </c>
      <c r="L13" s="134">
        <f>K13/20</f>
        <v>0.23403870000000002</v>
      </c>
      <c r="M13" s="141">
        <v>20</v>
      </c>
      <c r="N13" s="348"/>
      <c r="O13" s="142"/>
      <c r="P13" s="346"/>
    </row>
    <row r="14" spans="1:16" ht="43.5">
      <c r="A14" s="137">
        <v>3</v>
      </c>
      <c r="B14" s="125"/>
      <c r="C14" s="143" t="s">
        <v>2842</v>
      </c>
      <c r="D14" s="109" t="s">
        <v>2843</v>
      </c>
      <c r="E14" s="109" t="s">
        <v>2844</v>
      </c>
      <c r="F14" s="138">
        <v>3</v>
      </c>
      <c r="G14" s="118">
        <v>11</v>
      </c>
      <c r="H14" s="112">
        <f>G14/M14</f>
        <v>1</v>
      </c>
      <c r="I14" s="139">
        <f>G14*66*210/10000</f>
        <v>15.246</v>
      </c>
      <c r="J14" s="140">
        <f>I14*F14/100</f>
        <v>0.45738000000000001</v>
      </c>
      <c r="K14" s="133">
        <f>J14*2.7</f>
        <v>1.2349260000000002</v>
      </c>
      <c r="L14" s="134">
        <f>K14/20</f>
        <v>6.1746300000000011E-2</v>
      </c>
      <c r="M14" s="144">
        <v>11</v>
      </c>
      <c r="N14" s="349"/>
      <c r="O14" s="142"/>
      <c r="P14" s="346"/>
    </row>
    <row r="15" spans="1:16" ht="45">
      <c r="A15" s="137">
        <v>4</v>
      </c>
      <c r="B15" s="125"/>
      <c r="C15" s="50" t="s">
        <v>2845</v>
      </c>
      <c r="D15" s="109" t="s">
        <v>2843</v>
      </c>
      <c r="E15" s="109" t="s">
        <v>2844</v>
      </c>
      <c r="F15" s="138">
        <v>2</v>
      </c>
      <c r="G15" s="118">
        <v>20</v>
      </c>
      <c r="H15" s="112">
        <f>G15/M15</f>
        <v>1</v>
      </c>
      <c r="I15" s="139">
        <f>G15*66*210/10000</f>
        <v>27.72</v>
      </c>
      <c r="J15" s="140">
        <f>I15*F15/100</f>
        <v>0.5544</v>
      </c>
      <c r="K15" s="133">
        <f>J15*2.7</f>
        <v>1.4968800000000002</v>
      </c>
      <c r="L15" s="134">
        <f>K15/20</f>
        <v>7.4844000000000008E-2</v>
      </c>
      <c r="M15" s="144">
        <v>20</v>
      </c>
      <c r="N15" s="145" t="s">
        <v>2846</v>
      </c>
      <c r="O15" s="142"/>
      <c r="P15" s="346"/>
    </row>
    <row r="16" spans="1:16" s="154" customFormat="1" ht="15.75" thickBot="1">
      <c r="A16" s="146"/>
      <c r="B16" s="147"/>
      <c r="C16" s="148"/>
      <c r="D16" s="149"/>
      <c r="E16" s="149"/>
      <c r="F16" s="149"/>
      <c r="G16" s="150">
        <f t="shared" ref="G16:L16" si="0">SUM(G12:G15)</f>
        <v>681</v>
      </c>
      <c r="H16" s="150">
        <f t="shared" si="0"/>
        <v>24</v>
      </c>
      <c r="I16" s="151">
        <f t="shared" si="0"/>
        <v>203.94500000000002</v>
      </c>
      <c r="J16" s="152">
        <f t="shared" si="0"/>
        <v>6.534597999999999</v>
      </c>
      <c r="K16" s="152">
        <f t="shared" si="0"/>
        <v>17.643414600000003</v>
      </c>
      <c r="L16" s="152">
        <f t="shared" si="0"/>
        <v>0.88217073000000013</v>
      </c>
      <c r="M16" s="153"/>
      <c r="N16" s="336"/>
      <c r="O16" s="336"/>
      <c r="P16" s="337"/>
    </row>
    <row r="17" spans="1:16" ht="45">
      <c r="A17" s="137">
        <v>1</v>
      </c>
      <c r="B17" s="164" t="s">
        <v>2022</v>
      </c>
      <c r="C17" s="50" t="str">
        <f>VLOOKUP(B17,'Ma SP'!B3:F523,5,FALSE)</f>
        <v>BAZAN XÁM, Đá lát-Mặt đốt, cạnh cưa, vạt mép 3mm KT 61x40.6x3 SL:34 v/k</v>
      </c>
      <c r="D17" s="51" t="str">
        <f>VLOOKUP(B17,'Ma SP'!B3:L520,6,FALSE)</f>
        <v>6140.63</v>
      </c>
      <c r="E17" s="51">
        <f>VLOOKUP(B17,'Ma SP'!B3:J520,7,FALSE)</f>
        <v>61</v>
      </c>
      <c r="F17" s="51">
        <f>VLOOKUP(B17,'Ma SP'!B3:K520,8,FALSE)</f>
        <v>40.6</v>
      </c>
      <c r="G17" s="118">
        <v>510</v>
      </c>
      <c r="H17" s="112">
        <f>G17/M17</f>
        <v>15</v>
      </c>
      <c r="I17" s="139">
        <f>D17*E17*G17/10000</f>
        <v>19103.499929999998</v>
      </c>
      <c r="J17" s="140">
        <f>D17*E17*F17*G17/1000000</f>
        <v>7756.0209715800002</v>
      </c>
      <c r="K17" s="133">
        <f>J17*2.7</f>
        <v>20941.256623266003</v>
      </c>
      <c r="L17" s="134">
        <f>K17/20</f>
        <v>1047.0628311633002</v>
      </c>
      <c r="M17" s="141">
        <v>34</v>
      </c>
      <c r="N17" s="347" t="s">
        <v>2840</v>
      </c>
      <c r="O17" s="142"/>
      <c r="P17" s="345" t="s">
        <v>2838</v>
      </c>
    </row>
    <row r="18" spans="1:16" ht="45">
      <c r="A18" s="108">
        <v>2</v>
      </c>
      <c r="B18" s="164" t="s">
        <v>1993</v>
      </c>
      <c r="C18" s="50" t="str">
        <f>VLOOKUP(B18,'Ma SP'!B4:F524,5,FALSE)</f>
        <v>BAZAN XÁM, Đá cây-6 mặt đốt chải, vạt mép 3mm KT 61x40.6x5 SL:20 v/k</v>
      </c>
      <c r="D18" s="51" t="str">
        <f>VLOOKUP(B18,'Ma SP'!B4:L521,6,FALSE)</f>
        <v>6140.65</v>
      </c>
      <c r="E18" s="51">
        <f>VLOOKUP(B18,'Ma SP'!B4:J521,7,FALSE)</f>
        <v>61</v>
      </c>
      <c r="F18" s="51">
        <f>VLOOKUP(B18,'Ma SP'!B4:K521,8,FALSE)</f>
        <v>40.6</v>
      </c>
      <c r="G18" s="118">
        <v>140</v>
      </c>
      <c r="H18" s="112">
        <f>G18/M18</f>
        <v>7</v>
      </c>
      <c r="I18" s="139">
        <f>D18*E18*G18/10000</f>
        <v>5244.1150999999991</v>
      </c>
      <c r="J18" s="140">
        <f>D18*E18*F18*G18/1000000</f>
        <v>2129.1107305999999</v>
      </c>
      <c r="K18" s="133">
        <f>J18*2.7</f>
        <v>5748.5989726200005</v>
      </c>
      <c r="L18" s="134">
        <f>K18/20</f>
        <v>287.429948631</v>
      </c>
      <c r="M18" s="141">
        <v>20</v>
      </c>
      <c r="N18" s="348"/>
      <c r="O18" s="142"/>
      <c r="P18" s="346"/>
    </row>
    <row r="19" spans="1:16" ht="30">
      <c r="A19" s="137">
        <v>3</v>
      </c>
      <c r="B19" s="173" t="s">
        <v>2848</v>
      </c>
      <c r="C19" s="50" t="str">
        <f>VLOOKUP(B19,'Ma SP'!B5:F525,5,FALSE)</f>
        <v>BAZAN XÁM, Đá Tấm-Mặt đốt KT 200-220x64-68x3 SL: 11 v/k</v>
      </c>
      <c r="D19" s="51" t="str">
        <f>VLOOKUP(B19,'Ma SP'!B5:L522,6,FALSE)</f>
        <v>220683</v>
      </c>
      <c r="E19" s="51">
        <f>VLOOKUP(B19,'Ma SP'!B5:J522,7,FALSE)</f>
        <v>220</v>
      </c>
      <c r="F19" s="51">
        <f>VLOOKUP(B19,'Ma SP'!B5:K522,8,FALSE)</f>
        <v>68</v>
      </c>
      <c r="G19" s="118">
        <v>11</v>
      </c>
      <c r="H19" s="112">
        <f>G19/M19</f>
        <v>1</v>
      </c>
      <c r="I19" s="139">
        <f>G19*66*210/10000</f>
        <v>15.246</v>
      </c>
      <c r="J19" s="140">
        <f>I19*F19/100</f>
        <v>10.367280000000001</v>
      </c>
      <c r="K19" s="133">
        <f>J19*2.7</f>
        <v>27.991656000000006</v>
      </c>
      <c r="L19" s="134">
        <f>K19/20</f>
        <v>1.3995828000000003</v>
      </c>
      <c r="M19" s="144">
        <v>11</v>
      </c>
      <c r="N19" s="349"/>
      <c r="O19" s="142"/>
      <c r="P19" s="346"/>
    </row>
    <row r="20" spans="1:16" ht="45">
      <c r="A20" s="137">
        <v>4</v>
      </c>
      <c r="B20" s="173" t="s">
        <v>2850</v>
      </c>
      <c r="C20" s="50" t="str">
        <f>VLOOKUP(B20,'Ma SP'!B6:F526,5,FALSE)</f>
        <v>BAZAN ĐEN, Đá Tấm-Mặt đốt KT 200-220x64-68x2 SL: 20 v/k</v>
      </c>
      <c r="D20" s="51">
        <f>VLOOKUP(B20,'Ma SP'!B6:L523,6,FALSE)</f>
        <v>0</v>
      </c>
      <c r="E20" s="51">
        <f>VLOOKUP(B20,'Ma SP'!B6:J523,7,FALSE)</f>
        <v>220</v>
      </c>
      <c r="F20" s="51">
        <f>VLOOKUP(B20,'Ma SP'!B6:K523,8,FALSE)</f>
        <v>68</v>
      </c>
      <c r="G20" s="118">
        <v>20</v>
      </c>
      <c r="H20" s="112">
        <f>G20/M20</f>
        <v>1</v>
      </c>
      <c r="I20" s="139">
        <f>G20*66*210/10000</f>
        <v>27.72</v>
      </c>
      <c r="J20" s="140">
        <f>I20*F20/100</f>
        <v>18.849599999999999</v>
      </c>
      <c r="K20" s="133">
        <f>J20*2.7</f>
        <v>50.893920000000001</v>
      </c>
      <c r="L20" s="134">
        <f>K20/20</f>
        <v>2.5446960000000001</v>
      </c>
      <c r="M20" s="144">
        <v>20</v>
      </c>
      <c r="N20" s="145" t="s">
        <v>2846</v>
      </c>
      <c r="O20" s="142"/>
      <c r="P20" s="346"/>
    </row>
    <row r="21" spans="1:16" s="154" customFormat="1" ht="15.75" thickBot="1">
      <c r="A21" s="146"/>
      <c r="B21" s="147"/>
      <c r="C21" s="148"/>
      <c r="D21" s="149"/>
      <c r="E21" s="149"/>
      <c r="F21" s="149"/>
      <c r="G21" s="150">
        <f t="shared" ref="G21:L21" si="1">SUM(G17:G20)</f>
        <v>681</v>
      </c>
      <c r="H21" s="150">
        <f t="shared" si="1"/>
        <v>24</v>
      </c>
      <c r="I21" s="151">
        <f t="shared" si="1"/>
        <v>24390.581029999998</v>
      </c>
      <c r="J21" s="152">
        <f t="shared" si="1"/>
        <v>9914.3485821800004</v>
      </c>
      <c r="K21" s="152">
        <f t="shared" si="1"/>
        <v>26768.741171885998</v>
      </c>
      <c r="L21" s="152">
        <f t="shared" si="1"/>
        <v>1338.4370585943</v>
      </c>
      <c r="M21" s="153"/>
      <c r="N21" s="336"/>
      <c r="O21" s="336"/>
      <c r="P21" s="337"/>
    </row>
    <row r="22" spans="1:16">
      <c r="G22" s="155"/>
      <c r="H22" s="155"/>
    </row>
    <row r="23" spans="1:16" ht="15">
      <c r="A23" s="75" t="s">
        <v>2823</v>
      </c>
      <c r="B23" s="165"/>
      <c r="G23" s="155"/>
      <c r="H23" s="155"/>
      <c r="N23" s="316" t="s">
        <v>2800</v>
      </c>
      <c r="O23" s="316"/>
      <c r="P23" s="316"/>
    </row>
    <row r="24" spans="1:16" ht="15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</row>
    <row r="25" spans="1:16" ht="15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316"/>
      <c r="P25" s="316"/>
    </row>
    <row r="26" spans="1:16" ht="15" hidden="1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</row>
    <row r="27" spans="1:16" ht="15">
      <c r="A27" s="157"/>
      <c r="B27" s="166"/>
      <c r="C27" s="158"/>
      <c r="I27" s="158"/>
      <c r="N27" s="350" t="s">
        <v>2847</v>
      </c>
      <c r="O27" s="350"/>
      <c r="P27" s="350"/>
    </row>
    <row r="28" spans="1:16" ht="15">
      <c r="A28" s="157"/>
      <c r="N28" s="351"/>
      <c r="O28" s="351"/>
      <c r="P28" s="351"/>
    </row>
    <row r="29" spans="1:16" ht="15">
      <c r="A29" s="157"/>
      <c r="J29" s="159"/>
    </row>
    <row r="34" spans="3:4" ht="15">
      <c r="D34" s="159"/>
    </row>
    <row r="36" spans="3:4" ht="15">
      <c r="C36" s="160"/>
    </row>
    <row r="37" spans="3:4" ht="15">
      <c r="C37" s="159"/>
    </row>
    <row r="38" spans="3:4" ht="15">
      <c r="C38" s="159"/>
    </row>
  </sheetData>
  <mergeCells count="40">
    <mergeCell ref="N23:P23"/>
    <mergeCell ref="O25:P25"/>
    <mergeCell ref="N27:P27"/>
    <mergeCell ref="N28:P28"/>
    <mergeCell ref="N17:N19"/>
    <mergeCell ref="N21:P21"/>
    <mergeCell ref="P17:P20"/>
    <mergeCell ref="N16:P16"/>
    <mergeCell ref="A9:A10"/>
    <mergeCell ref="B9:B10"/>
    <mergeCell ref="C9:C10"/>
    <mergeCell ref="D9:F9"/>
    <mergeCell ref="G9:M9"/>
    <mergeCell ref="N9:N10"/>
    <mergeCell ref="O9:O10"/>
    <mergeCell ref="P9:P10"/>
    <mergeCell ref="A11:I11"/>
    <mergeCell ref="P11:P15"/>
    <mergeCell ref="N12:N14"/>
    <mergeCell ref="A7:C7"/>
    <mergeCell ref="D7:K7"/>
    <mergeCell ref="L7:N7"/>
    <mergeCell ref="O7:P7"/>
    <mergeCell ref="A8:C8"/>
    <mergeCell ref="D8:K8"/>
    <mergeCell ref="L8:N8"/>
    <mergeCell ref="O8:P8"/>
    <mergeCell ref="D5:K5"/>
    <mergeCell ref="L5:N5"/>
    <mergeCell ref="O5:P5"/>
    <mergeCell ref="D6:K6"/>
    <mergeCell ref="L6:N6"/>
    <mergeCell ref="O6:P6"/>
    <mergeCell ref="A1:P1"/>
    <mergeCell ref="D3:K3"/>
    <mergeCell ref="L3:N3"/>
    <mergeCell ref="O3:P3"/>
    <mergeCell ref="D4:K4"/>
    <mergeCell ref="L4:N4"/>
    <mergeCell ref="O4:P4"/>
  </mergeCells>
  <conditionalFormatting sqref="B18">
    <cfRule type="duplicateValues" dxfId="2" priority="3"/>
  </conditionalFormatting>
  <conditionalFormatting sqref="B17">
    <cfRule type="duplicateValues" dxfId="1" priority="2"/>
  </conditionalFormatting>
  <conditionalFormatting sqref="B19:B20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2"/>
  <sheetViews>
    <sheetView topLeftCell="A16" workbookViewId="0">
      <selection activeCell="H18" sqref="H18"/>
    </sheetView>
  </sheetViews>
  <sheetFormatPr defaultRowHeight="15"/>
  <cols>
    <col min="2" max="2" width="25.140625" bestFit="1" customWidth="1"/>
    <col min="3" max="3" width="12.5703125" customWidth="1"/>
  </cols>
  <sheetData>
    <row r="1" spans="1:6">
      <c r="A1" s="2" t="s">
        <v>11</v>
      </c>
      <c r="B1" s="2" t="s">
        <v>12</v>
      </c>
      <c r="C1" s="2" t="s">
        <v>476</v>
      </c>
      <c r="D1" s="2" t="s">
        <v>8</v>
      </c>
      <c r="E1" s="2" t="s">
        <v>140</v>
      </c>
      <c r="F1" s="2" t="s">
        <v>141</v>
      </c>
    </row>
    <row r="2" spans="1:6">
      <c r="A2" s="3" t="s">
        <v>142</v>
      </c>
      <c r="B2" s="4" t="str">
        <f>D2&amp;"x"&amp;E2&amp;"x"&amp;F2</f>
        <v>5x5x5</v>
      </c>
      <c r="C2" s="3" t="s">
        <v>142</v>
      </c>
      <c r="D2" s="1">
        <v>5</v>
      </c>
      <c r="E2" s="1">
        <v>5</v>
      </c>
      <c r="F2" s="1">
        <v>5</v>
      </c>
    </row>
    <row r="3" spans="1:6">
      <c r="A3" s="3" t="s">
        <v>143</v>
      </c>
      <c r="B3" s="4" t="str">
        <f>D3&amp;"x"&amp;E3&amp;"x"&amp;F3</f>
        <v>9x9x3</v>
      </c>
      <c r="C3" s="3" t="s">
        <v>143</v>
      </c>
      <c r="D3" s="1">
        <v>9</v>
      </c>
      <c r="E3" s="1">
        <v>9</v>
      </c>
      <c r="F3" s="1">
        <v>3</v>
      </c>
    </row>
    <row r="4" spans="1:6">
      <c r="A4" s="3" t="s">
        <v>144</v>
      </c>
      <c r="B4" s="4" t="str">
        <f t="shared" ref="B4:B67" si="0">D4&amp;"x"&amp;E4&amp;"x"&amp;F4</f>
        <v>9x9x4.5</v>
      </c>
      <c r="C4" s="3" t="s">
        <v>144</v>
      </c>
      <c r="D4" s="1">
        <v>9</v>
      </c>
      <c r="E4" s="1">
        <v>9</v>
      </c>
      <c r="F4" s="1">
        <v>4.5</v>
      </c>
    </row>
    <row r="5" spans="1:6">
      <c r="A5" s="3" t="s">
        <v>145</v>
      </c>
      <c r="B5" s="4" t="str">
        <f t="shared" si="0"/>
        <v>9x9x5</v>
      </c>
      <c r="C5" s="3" t="s">
        <v>145</v>
      </c>
      <c r="D5" s="1">
        <v>9</v>
      </c>
      <c r="E5" s="1">
        <v>9</v>
      </c>
      <c r="F5" s="1">
        <v>5</v>
      </c>
    </row>
    <row r="6" spans="1:6">
      <c r="A6" s="3" t="s">
        <v>146</v>
      </c>
      <c r="B6" s="4" t="str">
        <f t="shared" si="0"/>
        <v>9x9x7</v>
      </c>
      <c r="C6" s="3" t="s">
        <v>146</v>
      </c>
      <c r="D6" s="1">
        <v>9</v>
      </c>
      <c r="E6" s="1">
        <v>9</v>
      </c>
      <c r="F6" s="1">
        <v>7</v>
      </c>
    </row>
    <row r="7" spans="1:6">
      <c r="A7" s="3" t="s">
        <v>147</v>
      </c>
      <c r="B7" s="4" t="str">
        <f t="shared" si="0"/>
        <v>9x9x8</v>
      </c>
      <c r="C7" s="3" t="s">
        <v>147</v>
      </c>
      <c r="D7" s="1">
        <v>9</v>
      </c>
      <c r="E7" s="1">
        <v>9</v>
      </c>
      <c r="F7" s="1">
        <v>8</v>
      </c>
    </row>
    <row r="8" spans="1:6">
      <c r="A8" s="3" t="s">
        <v>148</v>
      </c>
      <c r="B8" s="4" t="str">
        <f t="shared" si="0"/>
        <v>9x9x9</v>
      </c>
      <c r="C8" s="3" t="s">
        <v>148</v>
      </c>
      <c r="D8" s="1">
        <v>9</v>
      </c>
      <c r="E8" s="1">
        <v>9</v>
      </c>
      <c r="F8" s="1">
        <v>9</v>
      </c>
    </row>
    <row r="9" spans="1:6">
      <c r="A9" s="3" t="s">
        <v>149</v>
      </c>
      <c r="B9" s="4" t="str">
        <f t="shared" si="0"/>
        <v>10x10x3</v>
      </c>
      <c r="C9" s="3" t="s">
        <v>149</v>
      </c>
      <c r="D9" s="1">
        <v>10</v>
      </c>
      <c r="E9" s="1">
        <v>10</v>
      </c>
      <c r="F9" s="1">
        <v>3</v>
      </c>
    </row>
    <row r="10" spans="1:6">
      <c r="A10" s="3" t="s">
        <v>150</v>
      </c>
      <c r="B10" s="4" t="str">
        <f t="shared" si="0"/>
        <v>10x10x5</v>
      </c>
      <c r="C10" s="3" t="s">
        <v>150</v>
      </c>
      <c r="D10" s="1">
        <v>10</v>
      </c>
      <c r="E10" s="1">
        <v>10</v>
      </c>
      <c r="F10" s="1">
        <v>5</v>
      </c>
    </row>
    <row r="11" spans="1:6">
      <c r="A11" s="3" t="s">
        <v>151</v>
      </c>
      <c r="B11" s="4" t="str">
        <f t="shared" si="0"/>
        <v>10x10x6</v>
      </c>
      <c r="C11" s="3" t="s">
        <v>151</v>
      </c>
      <c r="D11" s="1">
        <v>10</v>
      </c>
      <c r="E11" s="1">
        <v>10</v>
      </c>
      <c r="F11" s="1">
        <v>6</v>
      </c>
    </row>
    <row r="12" spans="1:6">
      <c r="A12" s="3" t="s">
        <v>152</v>
      </c>
      <c r="B12" s="4" t="str">
        <f t="shared" si="0"/>
        <v>10x10x8</v>
      </c>
      <c r="C12" s="3" t="s">
        <v>152</v>
      </c>
      <c r="D12" s="1">
        <v>10</v>
      </c>
      <c r="E12" s="1">
        <v>10</v>
      </c>
      <c r="F12" s="1">
        <v>8</v>
      </c>
    </row>
    <row r="13" spans="1:6">
      <c r="A13" s="3" t="s">
        <v>153</v>
      </c>
      <c r="B13" s="4" t="str">
        <f t="shared" si="0"/>
        <v>10x10x8.5</v>
      </c>
      <c r="C13" s="3" t="s">
        <v>153</v>
      </c>
      <c r="D13" s="1">
        <v>10</v>
      </c>
      <c r="E13" s="1">
        <v>10</v>
      </c>
      <c r="F13" s="1">
        <v>8.5</v>
      </c>
    </row>
    <row r="14" spans="1:6">
      <c r="A14" s="3" t="s">
        <v>154</v>
      </c>
      <c r="B14" s="4" t="str">
        <f t="shared" si="0"/>
        <v>10x10x9</v>
      </c>
      <c r="C14" s="3" t="s">
        <v>154</v>
      </c>
      <c r="D14" s="1">
        <v>10</v>
      </c>
      <c r="E14" s="1">
        <v>10</v>
      </c>
      <c r="F14" s="1">
        <v>9</v>
      </c>
    </row>
    <row r="15" spans="1:6">
      <c r="A15" s="3" t="s">
        <v>155</v>
      </c>
      <c r="B15" s="4" t="str">
        <f t="shared" si="0"/>
        <v>12.7x7.6x3</v>
      </c>
      <c r="C15" s="3" t="s">
        <v>155</v>
      </c>
      <c r="D15" s="1">
        <v>12.7</v>
      </c>
      <c r="E15" s="1">
        <v>7.6</v>
      </c>
      <c r="F15" s="1">
        <v>3</v>
      </c>
    </row>
    <row r="16" spans="1:6">
      <c r="A16" s="3" t="s">
        <v>156</v>
      </c>
      <c r="B16" s="4" t="str">
        <f t="shared" si="0"/>
        <v>12.7x7.6x5</v>
      </c>
      <c r="C16" s="3" t="s">
        <v>156</v>
      </c>
      <c r="D16" s="1">
        <v>12.7</v>
      </c>
      <c r="E16" s="1">
        <v>7.6</v>
      </c>
      <c r="F16" s="1">
        <v>5</v>
      </c>
    </row>
    <row r="17" spans="1:6">
      <c r="A17" s="3" t="s">
        <v>157</v>
      </c>
      <c r="B17" s="4" t="str">
        <f t="shared" si="0"/>
        <v>14x14x4</v>
      </c>
      <c r="C17" s="3" t="s">
        <v>157</v>
      </c>
      <c r="D17" s="1">
        <v>14</v>
      </c>
      <c r="E17" s="1">
        <v>14</v>
      </c>
      <c r="F17" s="1">
        <v>4</v>
      </c>
    </row>
    <row r="18" spans="1:6">
      <c r="A18" s="3" t="s">
        <v>158</v>
      </c>
      <c r="B18" s="4" t="str">
        <f t="shared" si="0"/>
        <v>14x14x5</v>
      </c>
      <c r="C18" s="3" t="s">
        <v>158</v>
      </c>
      <c r="D18" s="1">
        <v>14</v>
      </c>
      <c r="E18" s="1">
        <v>14</v>
      </c>
      <c r="F18" s="1">
        <v>5</v>
      </c>
    </row>
    <row r="19" spans="1:6">
      <c r="A19" s="3" t="s">
        <v>159</v>
      </c>
      <c r="B19" s="4" t="str">
        <f t="shared" si="0"/>
        <v>14x14x6</v>
      </c>
      <c r="C19" s="3" t="s">
        <v>159</v>
      </c>
      <c r="D19" s="1">
        <v>14</v>
      </c>
      <c r="E19" s="1">
        <v>14</v>
      </c>
      <c r="F19" s="1">
        <v>6</v>
      </c>
    </row>
    <row r="20" spans="1:6">
      <c r="A20" s="3" t="s">
        <v>160</v>
      </c>
      <c r="B20" s="4" t="str">
        <f t="shared" si="0"/>
        <v>14x14x8</v>
      </c>
      <c r="C20" s="3" t="s">
        <v>160</v>
      </c>
      <c r="D20" s="1">
        <v>14</v>
      </c>
      <c r="E20" s="1">
        <v>14</v>
      </c>
      <c r="F20" s="1">
        <v>8</v>
      </c>
    </row>
    <row r="21" spans="1:6">
      <c r="A21" s="3" t="s">
        <v>161</v>
      </c>
      <c r="B21" s="4" t="str">
        <f t="shared" si="0"/>
        <v>14x14x9</v>
      </c>
      <c r="C21" s="3" t="s">
        <v>161</v>
      </c>
      <c r="D21" s="1">
        <v>14</v>
      </c>
      <c r="E21" s="1">
        <v>14</v>
      </c>
      <c r="F21" s="1">
        <v>9</v>
      </c>
    </row>
    <row r="22" spans="1:6">
      <c r="A22" s="3" t="s">
        <v>162</v>
      </c>
      <c r="B22" s="4" t="str">
        <f t="shared" si="0"/>
        <v>15x15x1.2</v>
      </c>
      <c r="C22" s="3" t="s">
        <v>162</v>
      </c>
      <c r="D22" s="1">
        <v>15</v>
      </c>
      <c r="E22" s="1">
        <v>15</v>
      </c>
      <c r="F22" s="1">
        <v>1.2</v>
      </c>
    </row>
    <row r="23" spans="1:6">
      <c r="A23" s="3" t="s">
        <v>163</v>
      </c>
      <c r="B23" s="4" t="str">
        <f t="shared" si="0"/>
        <v>15x15x2</v>
      </c>
      <c r="C23" s="3" t="s">
        <v>163</v>
      </c>
      <c r="D23" s="1">
        <v>15</v>
      </c>
      <c r="E23" s="1">
        <v>15</v>
      </c>
      <c r="F23" s="1">
        <v>2</v>
      </c>
    </row>
    <row r="24" spans="1:6">
      <c r="A24" s="3" t="s">
        <v>164</v>
      </c>
      <c r="B24" s="4" t="str">
        <f t="shared" si="0"/>
        <v>15x15x2.5</v>
      </c>
      <c r="C24" s="3" t="s">
        <v>164</v>
      </c>
      <c r="D24" s="1">
        <v>15</v>
      </c>
      <c r="E24" s="1">
        <v>15</v>
      </c>
      <c r="F24" s="1">
        <v>2.5</v>
      </c>
    </row>
    <row r="25" spans="1:6">
      <c r="A25" s="3" t="s">
        <v>165</v>
      </c>
      <c r="B25" s="4" t="str">
        <f t="shared" si="0"/>
        <v>15x15x4</v>
      </c>
      <c r="C25" s="3" t="s">
        <v>165</v>
      </c>
      <c r="D25" s="1">
        <v>15</v>
      </c>
      <c r="E25" s="1">
        <v>15</v>
      </c>
      <c r="F25" s="1">
        <v>4</v>
      </c>
    </row>
    <row r="26" spans="1:6">
      <c r="A26" s="3" t="s">
        <v>166</v>
      </c>
      <c r="B26" s="4" t="str">
        <f t="shared" si="0"/>
        <v>15x15x5</v>
      </c>
      <c r="C26" s="3" t="s">
        <v>166</v>
      </c>
      <c r="D26" s="1">
        <v>15</v>
      </c>
      <c r="E26" s="1">
        <v>15</v>
      </c>
      <c r="F26" s="1">
        <v>5</v>
      </c>
    </row>
    <row r="27" spans="1:6">
      <c r="A27" s="3" t="s">
        <v>167</v>
      </c>
      <c r="B27" s="4" t="str">
        <f t="shared" si="0"/>
        <v>15x15x15</v>
      </c>
      <c r="C27" s="3" t="s">
        <v>167</v>
      </c>
      <c r="D27" s="1">
        <v>15</v>
      </c>
      <c r="E27" s="1">
        <v>15</v>
      </c>
      <c r="F27" s="1">
        <v>15</v>
      </c>
    </row>
    <row r="28" spans="1:6">
      <c r="A28" s="3" t="s">
        <v>168</v>
      </c>
      <c r="B28" s="4" t="str">
        <f t="shared" si="0"/>
        <v>16x16x7</v>
      </c>
      <c r="C28" s="3" t="s">
        <v>168</v>
      </c>
      <c r="D28" s="1">
        <v>16</v>
      </c>
      <c r="E28" s="1">
        <v>16</v>
      </c>
      <c r="F28" s="1">
        <v>7</v>
      </c>
    </row>
    <row r="29" spans="1:6">
      <c r="A29" s="3" t="s">
        <v>169</v>
      </c>
      <c r="B29" s="4" t="str">
        <f t="shared" si="0"/>
        <v>16x16x12</v>
      </c>
      <c r="C29" s="3" t="s">
        <v>169</v>
      </c>
      <c r="D29" s="1">
        <v>16</v>
      </c>
      <c r="E29" s="1">
        <v>16</v>
      </c>
      <c r="F29" s="1">
        <v>12</v>
      </c>
    </row>
    <row r="30" spans="1:6">
      <c r="A30" s="3" t="s">
        <v>170</v>
      </c>
      <c r="B30" s="4" t="str">
        <f t="shared" si="0"/>
        <v>16x16x14</v>
      </c>
      <c r="C30" s="3" t="s">
        <v>170</v>
      </c>
      <c r="D30" s="1">
        <v>16</v>
      </c>
      <c r="E30" s="1">
        <v>16</v>
      </c>
      <c r="F30" s="1">
        <v>14</v>
      </c>
    </row>
    <row r="31" spans="1:6">
      <c r="A31" s="3" t="s">
        <v>171</v>
      </c>
      <c r="B31" s="4" t="str">
        <f t="shared" si="0"/>
        <v>16x16x16</v>
      </c>
      <c r="C31" s="3" t="s">
        <v>171</v>
      </c>
      <c r="D31" s="1">
        <v>16</v>
      </c>
      <c r="E31" s="1">
        <v>16</v>
      </c>
      <c r="F31" s="1">
        <v>16</v>
      </c>
    </row>
    <row r="32" spans="1:6">
      <c r="A32" s="3" t="s">
        <v>172</v>
      </c>
      <c r="B32" s="4" t="str">
        <f t="shared" si="0"/>
        <v>19x9x9</v>
      </c>
      <c r="C32" s="3" t="s">
        <v>172</v>
      </c>
      <c r="D32" s="1">
        <v>19</v>
      </c>
      <c r="E32" s="1">
        <v>9</v>
      </c>
      <c r="F32" s="1">
        <v>9</v>
      </c>
    </row>
    <row r="33" spans="1:6">
      <c r="A33" s="3" t="s">
        <v>173</v>
      </c>
      <c r="B33" s="4" t="str">
        <f t="shared" si="0"/>
        <v>20x5x2.5</v>
      </c>
      <c r="C33" s="3" t="s">
        <v>173</v>
      </c>
      <c r="D33" s="1">
        <v>20</v>
      </c>
      <c r="E33" s="1">
        <v>5</v>
      </c>
      <c r="F33" s="1">
        <v>2.5</v>
      </c>
    </row>
    <row r="34" spans="1:6">
      <c r="A34" s="3" t="s">
        <v>174</v>
      </c>
      <c r="B34" s="4" t="str">
        <f t="shared" si="0"/>
        <v>20x5x5</v>
      </c>
      <c r="C34" s="3" t="s">
        <v>174</v>
      </c>
      <c r="D34" s="1">
        <v>20</v>
      </c>
      <c r="E34" s="1">
        <v>5</v>
      </c>
      <c r="F34" s="1">
        <v>5</v>
      </c>
    </row>
    <row r="35" spans="1:6">
      <c r="A35" s="3" t="s">
        <v>175</v>
      </c>
      <c r="B35" s="4" t="str">
        <f t="shared" si="0"/>
        <v>20x6x2</v>
      </c>
      <c r="C35" s="3" t="s">
        <v>175</v>
      </c>
      <c r="D35" s="1">
        <v>20</v>
      </c>
      <c r="E35" s="1">
        <v>6</v>
      </c>
      <c r="F35" s="1">
        <v>2</v>
      </c>
    </row>
    <row r="36" spans="1:6">
      <c r="A36" s="3" t="s">
        <v>176</v>
      </c>
      <c r="B36" s="4" t="str">
        <f t="shared" si="0"/>
        <v>20x10x3</v>
      </c>
      <c r="C36" s="3" t="s">
        <v>176</v>
      </c>
      <c r="D36" s="1">
        <v>20</v>
      </c>
      <c r="E36" s="1">
        <v>10</v>
      </c>
      <c r="F36" s="1">
        <v>3</v>
      </c>
    </row>
    <row r="37" spans="1:6">
      <c r="A37" s="3" t="s">
        <v>177</v>
      </c>
      <c r="B37" s="4" t="str">
        <f t="shared" si="0"/>
        <v>20x10x5</v>
      </c>
      <c r="C37" s="3" t="s">
        <v>177</v>
      </c>
      <c r="D37" s="1">
        <v>20</v>
      </c>
      <c r="E37" s="1">
        <v>10</v>
      </c>
      <c r="F37" s="1">
        <v>5</v>
      </c>
    </row>
    <row r="38" spans="1:6">
      <c r="A38" s="3" t="s">
        <v>178</v>
      </c>
      <c r="B38" s="4" t="str">
        <f t="shared" si="0"/>
        <v>20x10x7</v>
      </c>
      <c r="C38" s="3" t="s">
        <v>178</v>
      </c>
      <c r="D38" s="1">
        <v>20</v>
      </c>
      <c r="E38" s="1">
        <v>10</v>
      </c>
      <c r="F38" s="1">
        <v>7</v>
      </c>
    </row>
    <row r="39" spans="1:6">
      <c r="A39" s="3" t="s">
        <v>179</v>
      </c>
      <c r="B39" s="4" t="str">
        <f t="shared" si="0"/>
        <v>20x10x8.5</v>
      </c>
      <c r="C39" s="3" t="s">
        <v>179</v>
      </c>
      <c r="D39" s="1">
        <v>20</v>
      </c>
      <c r="E39" s="1">
        <v>10</v>
      </c>
      <c r="F39" s="1">
        <v>8.5</v>
      </c>
    </row>
    <row r="40" spans="1:6">
      <c r="A40" s="3" t="s">
        <v>180</v>
      </c>
      <c r="B40" s="4" t="str">
        <f t="shared" si="0"/>
        <v>20x10x9</v>
      </c>
      <c r="C40" s="3" t="s">
        <v>180</v>
      </c>
      <c r="D40" s="1">
        <v>20</v>
      </c>
      <c r="E40" s="1">
        <v>10</v>
      </c>
      <c r="F40" s="1">
        <v>9</v>
      </c>
    </row>
    <row r="41" spans="1:6">
      <c r="A41" s="3" t="s">
        <v>181</v>
      </c>
      <c r="B41" s="4" t="str">
        <f t="shared" si="0"/>
        <v>20x10x10</v>
      </c>
      <c r="C41" s="3" t="s">
        <v>181</v>
      </c>
      <c r="D41" s="1">
        <v>20</v>
      </c>
      <c r="E41" s="1">
        <v>10</v>
      </c>
      <c r="F41" s="1">
        <v>10</v>
      </c>
    </row>
    <row r="42" spans="1:6">
      <c r="A42" s="3" t="s">
        <v>182</v>
      </c>
      <c r="B42" s="4" t="str">
        <f t="shared" si="0"/>
        <v>20x20x2</v>
      </c>
      <c r="C42" s="3" t="s">
        <v>182</v>
      </c>
      <c r="D42" s="1">
        <v>20</v>
      </c>
      <c r="E42" s="1">
        <v>20</v>
      </c>
      <c r="F42" s="1">
        <v>2</v>
      </c>
    </row>
    <row r="43" spans="1:6">
      <c r="A43" s="3" t="s">
        <v>183</v>
      </c>
      <c r="B43" s="4" t="str">
        <f t="shared" si="0"/>
        <v>20x20x2.5</v>
      </c>
      <c r="C43" s="3" t="s">
        <v>183</v>
      </c>
      <c r="D43" s="1">
        <v>20</v>
      </c>
      <c r="E43" s="1">
        <v>20</v>
      </c>
      <c r="F43" s="1">
        <v>2.5</v>
      </c>
    </row>
    <row r="44" spans="1:6">
      <c r="A44" s="3" t="s">
        <v>184</v>
      </c>
      <c r="B44" s="1" t="str">
        <f t="shared" si="0"/>
        <v>20x20x5</v>
      </c>
      <c r="C44" s="3" t="s">
        <v>184</v>
      </c>
      <c r="D44" s="1">
        <v>20</v>
      </c>
      <c r="E44" s="1">
        <v>20</v>
      </c>
      <c r="F44" s="1">
        <v>5</v>
      </c>
    </row>
    <row r="45" spans="1:6">
      <c r="A45" s="3" t="s">
        <v>185</v>
      </c>
      <c r="B45" s="1" t="str">
        <f t="shared" si="0"/>
        <v>20x20x20</v>
      </c>
      <c r="C45" s="3" t="s">
        <v>185</v>
      </c>
      <c r="D45" s="1">
        <v>20</v>
      </c>
      <c r="E45" s="1">
        <v>20</v>
      </c>
      <c r="F45" s="1">
        <v>20</v>
      </c>
    </row>
    <row r="46" spans="1:6">
      <c r="A46" s="3" t="s">
        <v>186</v>
      </c>
      <c r="B46" s="1" t="str">
        <f t="shared" si="0"/>
        <v>20x35x15</v>
      </c>
      <c r="C46" s="3" t="s">
        <v>186</v>
      </c>
      <c r="D46" s="1">
        <v>20</v>
      </c>
      <c r="E46" s="1">
        <v>35</v>
      </c>
      <c r="F46" s="1">
        <v>15</v>
      </c>
    </row>
    <row r="47" spans="1:6">
      <c r="A47" s="3" t="s">
        <v>187</v>
      </c>
      <c r="B47" s="1" t="str">
        <f t="shared" si="0"/>
        <v>24x8x5</v>
      </c>
      <c r="C47" s="3" t="s">
        <v>187</v>
      </c>
      <c r="D47" s="1">
        <v>24</v>
      </c>
      <c r="E47" s="1">
        <v>8</v>
      </c>
      <c r="F47" s="1">
        <v>5</v>
      </c>
    </row>
    <row r="48" spans="1:6">
      <c r="A48" s="3" t="s">
        <v>188</v>
      </c>
      <c r="B48" s="1" t="str">
        <f t="shared" si="0"/>
        <v>25x8x5</v>
      </c>
      <c r="C48" s="3" t="s">
        <v>188</v>
      </c>
      <c r="D48" s="1">
        <v>25</v>
      </c>
      <c r="E48" s="1">
        <v>8</v>
      </c>
      <c r="F48" s="1">
        <v>5</v>
      </c>
    </row>
    <row r="49" spans="1:6">
      <c r="A49" s="3" t="s">
        <v>189</v>
      </c>
      <c r="B49" s="1" t="str">
        <f t="shared" si="0"/>
        <v>25x12x12</v>
      </c>
      <c r="C49" s="3" t="s">
        <v>189</v>
      </c>
      <c r="D49" s="1">
        <v>25</v>
      </c>
      <c r="E49" s="1">
        <v>12</v>
      </c>
      <c r="F49" s="1">
        <v>12</v>
      </c>
    </row>
    <row r="50" spans="1:6">
      <c r="A50" s="3" t="s">
        <v>190</v>
      </c>
      <c r="B50" s="1" t="str">
        <f t="shared" si="0"/>
        <v>25x25x8</v>
      </c>
      <c r="C50" s="3" t="s">
        <v>190</v>
      </c>
      <c r="D50" s="1">
        <v>25</v>
      </c>
      <c r="E50" s="1">
        <v>25</v>
      </c>
      <c r="F50" s="1">
        <v>8</v>
      </c>
    </row>
    <row r="51" spans="1:6">
      <c r="A51" s="3" t="s">
        <v>191</v>
      </c>
      <c r="B51" s="1" t="str">
        <f t="shared" si="0"/>
        <v>29x9x9</v>
      </c>
      <c r="C51" s="3" t="s">
        <v>191</v>
      </c>
      <c r="D51" s="1">
        <v>29</v>
      </c>
      <c r="E51" s="1">
        <v>9</v>
      </c>
      <c r="F51" s="1">
        <v>9</v>
      </c>
    </row>
    <row r="52" spans="1:6">
      <c r="A52" s="3" t="s">
        <v>192</v>
      </c>
      <c r="B52" s="1" t="str">
        <f t="shared" si="0"/>
        <v>30x5x5</v>
      </c>
      <c r="C52" s="3" t="s">
        <v>192</v>
      </c>
      <c r="D52" s="1">
        <v>30</v>
      </c>
      <c r="E52" s="1">
        <v>5</v>
      </c>
      <c r="F52" s="1">
        <v>5</v>
      </c>
    </row>
    <row r="53" spans="1:6">
      <c r="A53" s="3" t="s">
        <v>193</v>
      </c>
      <c r="B53" s="1" t="str">
        <f t="shared" si="0"/>
        <v>30x12x12</v>
      </c>
      <c r="C53" s="3" t="s">
        <v>193</v>
      </c>
      <c r="D53" s="1">
        <v>30</v>
      </c>
      <c r="E53" s="1">
        <v>12</v>
      </c>
      <c r="F53" s="1">
        <v>12</v>
      </c>
    </row>
    <row r="54" spans="1:6">
      <c r="A54" s="3" t="s">
        <v>194</v>
      </c>
      <c r="B54" s="1" t="str">
        <f t="shared" si="0"/>
        <v>30x15x10</v>
      </c>
      <c r="C54" s="3" t="s">
        <v>194</v>
      </c>
      <c r="D54" s="1">
        <v>30</v>
      </c>
      <c r="E54" s="1">
        <v>15</v>
      </c>
      <c r="F54" s="1">
        <v>10</v>
      </c>
    </row>
    <row r="55" spans="1:6">
      <c r="A55" s="3" t="s">
        <v>195</v>
      </c>
      <c r="B55" s="1" t="str">
        <f t="shared" si="0"/>
        <v>30x30x2.5</v>
      </c>
      <c r="C55" s="3" t="s">
        <v>195</v>
      </c>
      <c r="D55" s="1">
        <v>30</v>
      </c>
      <c r="E55" s="1">
        <v>30</v>
      </c>
      <c r="F55" s="1">
        <v>2.5</v>
      </c>
    </row>
    <row r="56" spans="1:6">
      <c r="A56" s="3" t="s">
        <v>196</v>
      </c>
      <c r="B56" s="1" t="str">
        <f t="shared" si="0"/>
        <v>30x30x3</v>
      </c>
      <c r="C56" s="3" t="s">
        <v>196</v>
      </c>
      <c r="D56" s="1">
        <v>30</v>
      </c>
      <c r="E56" s="1">
        <v>30</v>
      </c>
      <c r="F56" s="1">
        <v>3</v>
      </c>
    </row>
    <row r="57" spans="1:6">
      <c r="A57" s="3" t="s">
        <v>197</v>
      </c>
      <c r="B57" s="1" t="str">
        <f t="shared" si="0"/>
        <v>30x30x6</v>
      </c>
      <c r="C57" s="3" t="s">
        <v>197</v>
      </c>
      <c r="D57" s="1">
        <v>30</v>
      </c>
      <c r="E57" s="1">
        <v>30</v>
      </c>
      <c r="F57" s="1">
        <v>6</v>
      </c>
    </row>
    <row r="58" spans="1:6">
      <c r="A58" s="3" t="s">
        <v>198</v>
      </c>
      <c r="B58" s="1" t="str">
        <f t="shared" si="0"/>
        <v>30x30x30</v>
      </c>
      <c r="C58" s="3" t="s">
        <v>198</v>
      </c>
      <c r="D58" s="1">
        <v>30</v>
      </c>
      <c r="E58" s="1">
        <v>30</v>
      </c>
      <c r="F58" s="1">
        <v>30</v>
      </c>
    </row>
    <row r="59" spans="1:6">
      <c r="A59" s="3" t="s">
        <v>199</v>
      </c>
      <c r="B59" s="1" t="str">
        <f t="shared" si="0"/>
        <v>30.5x30.5x1.2</v>
      </c>
      <c r="C59" s="3" t="s">
        <v>199</v>
      </c>
      <c r="D59" s="1">
        <v>30.5</v>
      </c>
      <c r="E59" s="1">
        <v>30.5</v>
      </c>
      <c r="F59" s="1">
        <v>1.2</v>
      </c>
    </row>
    <row r="60" spans="1:6">
      <c r="A60" s="3" t="s">
        <v>200</v>
      </c>
      <c r="B60" s="1" t="str">
        <f t="shared" si="0"/>
        <v>35x12x12</v>
      </c>
      <c r="C60" s="3" t="s">
        <v>200</v>
      </c>
      <c r="D60" s="1">
        <v>35</v>
      </c>
      <c r="E60" s="1">
        <v>12</v>
      </c>
      <c r="F60" s="1">
        <v>12</v>
      </c>
    </row>
    <row r="61" spans="1:6">
      <c r="A61" s="3" t="s">
        <v>201</v>
      </c>
      <c r="B61" s="1" t="str">
        <f t="shared" si="0"/>
        <v>35x13.5x5</v>
      </c>
      <c r="C61" s="3" t="s">
        <v>201</v>
      </c>
      <c r="D61" s="1">
        <v>35</v>
      </c>
      <c r="E61" s="1">
        <v>13.5</v>
      </c>
      <c r="F61" s="1">
        <v>5</v>
      </c>
    </row>
    <row r="62" spans="1:6">
      <c r="A62" s="3" t="s">
        <v>202</v>
      </c>
      <c r="B62" s="1" t="str">
        <f t="shared" si="0"/>
        <v>35x15x6</v>
      </c>
      <c r="C62" s="3" t="s">
        <v>202</v>
      </c>
      <c r="D62" s="1">
        <v>35</v>
      </c>
      <c r="E62" s="1">
        <v>15</v>
      </c>
      <c r="F62" s="1">
        <v>6</v>
      </c>
    </row>
    <row r="63" spans="1:6">
      <c r="A63" s="3" t="s">
        <v>203</v>
      </c>
      <c r="B63" s="1" t="str">
        <f t="shared" si="0"/>
        <v>35x17x15</v>
      </c>
      <c r="C63" s="3" t="s">
        <v>203</v>
      </c>
      <c r="D63" s="1">
        <v>35</v>
      </c>
      <c r="E63" s="1">
        <v>17</v>
      </c>
      <c r="F63" s="1">
        <v>15</v>
      </c>
    </row>
    <row r="64" spans="1:6">
      <c r="A64" s="3" t="s">
        <v>204</v>
      </c>
      <c r="B64" s="1" t="str">
        <f t="shared" si="0"/>
        <v>35x25x10</v>
      </c>
      <c r="C64" s="3" t="s">
        <v>204</v>
      </c>
      <c r="D64" s="1">
        <v>35</v>
      </c>
      <c r="E64" s="1">
        <v>25</v>
      </c>
      <c r="F64" s="1">
        <v>10</v>
      </c>
    </row>
    <row r="65" spans="1:6">
      <c r="A65" s="3" t="s">
        <v>205</v>
      </c>
      <c r="B65" s="1" t="str">
        <f t="shared" si="0"/>
        <v>37.6x31.6x3</v>
      </c>
      <c r="C65" s="3" t="s">
        <v>205</v>
      </c>
      <c r="D65" s="1">
        <v>37.6</v>
      </c>
      <c r="E65" s="1">
        <v>31.6</v>
      </c>
      <c r="F65" s="1">
        <v>3</v>
      </c>
    </row>
    <row r="66" spans="1:6">
      <c r="A66" s="3" t="s">
        <v>206</v>
      </c>
      <c r="B66" s="1" t="str">
        <f t="shared" si="0"/>
        <v>39x19.5x6</v>
      </c>
      <c r="C66" s="3" t="s">
        <v>206</v>
      </c>
      <c r="D66" s="1">
        <v>39</v>
      </c>
      <c r="E66" s="1">
        <v>19.5</v>
      </c>
      <c r="F66" s="1">
        <v>6</v>
      </c>
    </row>
    <row r="67" spans="1:6">
      <c r="A67" s="3" t="s">
        <v>207</v>
      </c>
      <c r="B67" s="1" t="str">
        <f t="shared" si="0"/>
        <v>40x8x1.2</v>
      </c>
      <c r="C67" s="3" t="s">
        <v>207</v>
      </c>
      <c r="D67" s="1">
        <v>40</v>
      </c>
      <c r="E67" s="1">
        <v>8</v>
      </c>
      <c r="F67" s="1">
        <v>1.2</v>
      </c>
    </row>
    <row r="68" spans="1:6">
      <c r="A68" s="3" t="s">
        <v>208</v>
      </c>
      <c r="B68" s="1" t="str">
        <f t="shared" ref="B68:B131" si="1">D68&amp;"x"&amp;E68&amp;"x"&amp;F68</f>
        <v>40x12x12</v>
      </c>
      <c r="C68" s="3" t="s">
        <v>208</v>
      </c>
      <c r="D68" s="1">
        <v>40</v>
      </c>
      <c r="E68" s="1">
        <v>12</v>
      </c>
      <c r="F68" s="1">
        <v>12</v>
      </c>
    </row>
    <row r="69" spans="1:6">
      <c r="A69" s="3" t="s">
        <v>209</v>
      </c>
      <c r="B69" s="1" t="str">
        <f t="shared" si="1"/>
        <v>40x18x15</v>
      </c>
      <c r="C69" s="3" t="s">
        <v>209</v>
      </c>
      <c r="D69" s="1">
        <v>40</v>
      </c>
      <c r="E69" s="1">
        <v>18</v>
      </c>
      <c r="F69" s="1">
        <v>15</v>
      </c>
    </row>
    <row r="70" spans="1:6">
      <c r="A70" s="3" t="s">
        <v>210</v>
      </c>
      <c r="B70" s="1" t="str">
        <f t="shared" si="1"/>
        <v>40x20x2</v>
      </c>
      <c r="C70" s="3" t="s">
        <v>210</v>
      </c>
      <c r="D70" s="1">
        <v>40</v>
      </c>
      <c r="E70" s="1">
        <v>20</v>
      </c>
      <c r="F70" s="1">
        <v>2</v>
      </c>
    </row>
    <row r="71" spans="1:6">
      <c r="A71" s="3" t="s">
        <v>211</v>
      </c>
      <c r="B71" s="1" t="str">
        <f t="shared" si="1"/>
        <v>40x20x10</v>
      </c>
      <c r="C71" s="3" t="s">
        <v>211</v>
      </c>
      <c r="D71" s="1">
        <v>40</v>
      </c>
      <c r="E71" s="1">
        <v>20</v>
      </c>
      <c r="F71" s="1">
        <v>10</v>
      </c>
    </row>
    <row r="72" spans="1:6">
      <c r="A72" s="3" t="s">
        <v>212</v>
      </c>
      <c r="B72" s="1" t="str">
        <f t="shared" si="1"/>
        <v>40x25x10</v>
      </c>
      <c r="C72" s="3" t="s">
        <v>212</v>
      </c>
      <c r="D72" s="1">
        <v>40</v>
      </c>
      <c r="E72" s="1">
        <v>25</v>
      </c>
      <c r="F72" s="1">
        <v>10</v>
      </c>
    </row>
    <row r="73" spans="1:6">
      <c r="A73" s="3" t="s">
        <v>213</v>
      </c>
      <c r="B73" s="1" t="str">
        <f t="shared" si="1"/>
        <v>40x40x2</v>
      </c>
      <c r="C73" s="3" t="s">
        <v>213</v>
      </c>
      <c r="D73" s="1">
        <v>40</v>
      </c>
      <c r="E73" s="1">
        <v>40</v>
      </c>
      <c r="F73" s="1">
        <v>2</v>
      </c>
    </row>
    <row r="74" spans="1:6">
      <c r="A74" s="3" t="s">
        <v>214</v>
      </c>
      <c r="B74" s="1" t="str">
        <f t="shared" si="1"/>
        <v>40x40x2.5</v>
      </c>
      <c r="C74" s="3" t="s">
        <v>214</v>
      </c>
      <c r="D74" s="1">
        <v>40</v>
      </c>
      <c r="E74" s="1">
        <v>40</v>
      </c>
      <c r="F74" s="1">
        <v>2.5</v>
      </c>
    </row>
    <row r="75" spans="1:6">
      <c r="A75" s="3" t="s">
        <v>215</v>
      </c>
      <c r="B75" s="1" t="str">
        <f t="shared" si="1"/>
        <v>40x40x3</v>
      </c>
      <c r="C75" s="3" t="s">
        <v>215</v>
      </c>
      <c r="D75" s="1">
        <v>40</v>
      </c>
      <c r="E75" s="1">
        <v>40</v>
      </c>
      <c r="F75" s="1">
        <v>3</v>
      </c>
    </row>
    <row r="76" spans="1:6">
      <c r="A76" s="3" t="s">
        <v>216</v>
      </c>
      <c r="B76" s="1" t="str">
        <f t="shared" si="1"/>
        <v>40x40x7</v>
      </c>
      <c r="C76" s="3" t="s">
        <v>216</v>
      </c>
      <c r="D76" s="1">
        <v>40</v>
      </c>
      <c r="E76" s="1">
        <v>40</v>
      </c>
      <c r="F76" s="1">
        <v>7</v>
      </c>
    </row>
    <row r="77" spans="1:6">
      <c r="A77" s="3" t="s">
        <v>217</v>
      </c>
      <c r="B77" s="1" t="str">
        <f t="shared" si="1"/>
        <v>40x40x40</v>
      </c>
      <c r="C77" s="3" t="s">
        <v>217</v>
      </c>
      <c r="D77" s="1">
        <v>40</v>
      </c>
      <c r="E77" s="1">
        <v>40</v>
      </c>
      <c r="F77" s="1">
        <v>40</v>
      </c>
    </row>
    <row r="78" spans="1:6">
      <c r="A78" s="3" t="s">
        <v>218</v>
      </c>
      <c r="B78" s="1" t="str">
        <f t="shared" si="1"/>
        <v>41.8x29.4x3</v>
      </c>
      <c r="C78" s="3" t="s">
        <v>218</v>
      </c>
      <c r="D78" s="1">
        <v>41.8</v>
      </c>
      <c r="E78" s="1">
        <v>29.4</v>
      </c>
      <c r="F78" s="1">
        <v>3</v>
      </c>
    </row>
    <row r="79" spans="1:6">
      <c r="A79" s="3" t="s">
        <v>219</v>
      </c>
      <c r="B79" s="1" t="str">
        <f t="shared" si="1"/>
        <v>41.8x39.5x3</v>
      </c>
      <c r="C79" s="3" t="s">
        <v>219</v>
      </c>
      <c r="D79" s="1">
        <v>41.8</v>
      </c>
      <c r="E79" s="1">
        <v>39.5</v>
      </c>
      <c r="F79" s="1">
        <v>3</v>
      </c>
    </row>
    <row r="80" spans="1:6">
      <c r="A80" s="3" t="s">
        <v>220</v>
      </c>
      <c r="B80" s="1" t="str">
        <f t="shared" si="1"/>
        <v>45x35x30</v>
      </c>
      <c r="C80" s="3" t="s">
        <v>220</v>
      </c>
      <c r="D80" s="1">
        <v>45</v>
      </c>
      <c r="E80" s="1">
        <v>35</v>
      </c>
      <c r="F80" s="1">
        <v>30</v>
      </c>
    </row>
    <row r="81" spans="1:6">
      <c r="A81" s="3" t="s">
        <v>221</v>
      </c>
      <c r="B81" s="1" t="str">
        <f t="shared" si="1"/>
        <v>45x90x3</v>
      </c>
      <c r="C81" s="3" t="s">
        <v>221</v>
      </c>
      <c r="D81" s="1">
        <v>45</v>
      </c>
      <c r="E81" s="1">
        <v>90</v>
      </c>
      <c r="F81" s="1">
        <v>3</v>
      </c>
    </row>
    <row r="82" spans="1:6">
      <c r="A82" s="3" t="s">
        <v>222</v>
      </c>
      <c r="B82" s="1" t="str">
        <f t="shared" si="1"/>
        <v>45.7x91.4x2</v>
      </c>
      <c r="C82" s="3" t="s">
        <v>222</v>
      </c>
      <c r="D82" s="1">
        <v>45.7</v>
      </c>
      <c r="E82" s="1">
        <v>91.4</v>
      </c>
      <c r="F82" s="1">
        <v>2</v>
      </c>
    </row>
    <row r="83" spans="1:6">
      <c r="A83" s="3" t="s">
        <v>223</v>
      </c>
      <c r="B83" s="1" t="str">
        <f t="shared" si="1"/>
        <v>45.7x91.4x4</v>
      </c>
      <c r="C83" s="3" t="s">
        <v>223</v>
      </c>
      <c r="D83" s="1">
        <v>45.7</v>
      </c>
      <c r="E83" s="1">
        <v>91.4</v>
      </c>
      <c r="F83" s="1">
        <v>4</v>
      </c>
    </row>
    <row r="84" spans="1:6">
      <c r="A84" s="3" t="s">
        <v>224</v>
      </c>
      <c r="B84" s="1" t="str">
        <f t="shared" si="1"/>
        <v>50x8x2</v>
      </c>
      <c r="C84" s="3" t="s">
        <v>224</v>
      </c>
      <c r="D84" s="1">
        <v>50</v>
      </c>
      <c r="E84" s="1">
        <v>8</v>
      </c>
      <c r="F84" s="1">
        <v>2</v>
      </c>
    </row>
    <row r="85" spans="1:6">
      <c r="A85" s="3" t="s">
        <v>225</v>
      </c>
      <c r="B85" s="1" t="str">
        <f t="shared" si="1"/>
        <v>50x12x12</v>
      </c>
      <c r="C85" s="3" t="s">
        <v>225</v>
      </c>
      <c r="D85" s="1">
        <v>50</v>
      </c>
      <c r="E85" s="1">
        <v>12</v>
      </c>
      <c r="F85" s="1">
        <v>12</v>
      </c>
    </row>
    <row r="86" spans="1:6">
      <c r="A86" s="3" t="s">
        <v>226</v>
      </c>
      <c r="B86" s="1" t="str">
        <f t="shared" si="1"/>
        <v>50x15x10</v>
      </c>
      <c r="C86" s="3" t="s">
        <v>226</v>
      </c>
      <c r="D86" s="1">
        <v>50</v>
      </c>
      <c r="E86" s="1">
        <v>15</v>
      </c>
      <c r="F86" s="1">
        <v>10</v>
      </c>
    </row>
    <row r="87" spans="1:6">
      <c r="A87" s="3" t="s">
        <v>227</v>
      </c>
      <c r="B87" s="1" t="str">
        <f t="shared" si="1"/>
        <v>50x20x10</v>
      </c>
      <c r="C87" s="3" t="s">
        <v>227</v>
      </c>
      <c r="D87" s="1">
        <v>50</v>
      </c>
      <c r="E87" s="1">
        <v>20</v>
      </c>
      <c r="F87" s="1">
        <v>10</v>
      </c>
    </row>
    <row r="88" spans="1:6">
      <c r="A88" s="3" t="s">
        <v>228</v>
      </c>
      <c r="B88" s="1" t="str">
        <f t="shared" si="1"/>
        <v>50x25x7</v>
      </c>
      <c r="C88" s="3" t="s">
        <v>228</v>
      </c>
      <c r="D88" s="1">
        <v>50</v>
      </c>
      <c r="E88" s="1">
        <v>25</v>
      </c>
      <c r="F88" s="1">
        <v>7</v>
      </c>
    </row>
    <row r="89" spans="1:6">
      <c r="A89" s="3" t="s">
        <v>229</v>
      </c>
      <c r="B89" s="1" t="str">
        <f t="shared" si="1"/>
        <v>50x25x8</v>
      </c>
      <c r="C89" s="3" t="s">
        <v>229</v>
      </c>
      <c r="D89" s="1">
        <v>50</v>
      </c>
      <c r="E89" s="1">
        <v>25</v>
      </c>
      <c r="F89" s="1">
        <v>8</v>
      </c>
    </row>
    <row r="90" spans="1:6">
      <c r="A90" s="3" t="s">
        <v>230</v>
      </c>
      <c r="B90" s="1" t="str">
        <f t="shared" si="1"/>
        <v>50x25x10</v>
      </c>
      <c r="C90" s="3" t="s">
        <v>230</v>
      </c>
      <c r="D90" s="1">
        <v>50</v>
      </c>
      <c r="E90" s="1">
        <v>25</v>
      </c>
      <c r="F90" s="1">
        <v>10</v>
      </c>
    </row>
    <row r="91" spans="1:6">
      <c r="A91" s="3" t="s">
        <v>231</v>
      </c>
      <c r="B91" s="1" t="str">
        <f t="shared" si="1"/>
        <v>50x25x25</v>
      </c>
      <c r="C91" s="3" t="s">
        <v>231</v>
      </c>
      <c r="D91" s="1">
        <v>50</v>
      </c>
      <c r="E91" s="1">
        <v>25</v>
      </c>
      <c r="F91" s="1">
        <v>25</v>
      </c>
    </row>
    <row r="92" spans="1:6">
      <c r="A92" s="3" t="s">
        <v>232</v>
      </c>
      <c r="B92" s="1" t="str">
        <f t="shared" si="1"/>
        <v>50x26.5x3</v>
      </c>
      <c r="C92" s="3" t="s">
        <v>232</v>
      </c>
      <c r="D92" s="1">
        <v>50</v>
      </c>
      <c r="E92" s="1">
        <v>26.5</v>
      </c>
      <c r="F92" s="1">
        <v>3</v>
      </c>
    </row>
    <row r="93" spans="1:6">
      <c r="A93" s="3" t="s">
        <v>233</v>
      </c>
      <c r="B93" s="1" t="str">
        <f t="shared" si="1"/>
        <v>50x35x4</v>
      </c>
      <c r="C93" s="3" t="s">
        <v>233</v>
      </c>
      <c r="D93" s="1">
        <v>50</v>
      </c>
      <c r="E93" s="1">
        <v>35</v>
      </c>
      <c r="F93" s="1">
        <v>4</v>
      </c>
    </row>
    <row r="94" spans="1:6">
      <c r="A94" s="3" t="s">
        <v>234</v>
      </c>
      <c r="B94" s="1" t="str">
        <f t="shared" si="1"/>
        <v>50x35x15</v>
      </c>
      <c r="C94" s="3" t="s">
        <v>234</v>
      </c>
      <c r="D94" s="1">
        <v>50</v>
      </c>
      <c r="E94" s="1">
        <v>35</v>
      </c>
      <c r="F94" s="1">
        <v>15</v>
      </c>
    </row>
    <row r="95" spans="1:6">
      <c r="A95" s="3" t="s">
        <v>235</v>
      </c>
      <c r="B95" s="1" t="str">
        <f t="shared" si="1"/>
        <v>50x50x2</v>
      </c>
      <c r="C95" s="3" t="s">
        <v>235</v>
      </c>
      <c r="D95" s="1">
        <v>50</v>
      </c>
      <c r="E95" s="1">
        <v>50</v>
      </c>
      <c r="F95" s="1">
        <v>2</v>
      </c>
    </row>
    <row r="96" spans="1:6">
      <c r="A96" s="3" t="s">
        <v>236</v>
      </c>
      <c r="B96" s="1" t="str">
        <f t="shared" si="1"/>
        <v>50x50x2.5</v>
      </c>
      <c r="C96" s="3" t="s">
        <v>236</v>
      </c>
      <c r="D96" s="1">
        <v>50</v>
      </c>
      <c r="E96" s="1">
        <v>50</v>
      </c>
      <c r="F96" s="1">
        <v>2.5</v>
      </c>
    </row>
    <row r="97" spans="1:6">
      <c r="A97" s="3" t="s">
        <v>237</v>
      </c>
      <c r="B97" s="1" t="str">
        <f t="shared" si="1"/>
        <v>50x50x3</v>
      </c>
      <c r="C97" s="3" t="s">
        <v>237</v>
      </c>
      <c r="D97" s="1">
        <v>50</v>
      </c>
      <c r="E97" s="1">
        <v>50</v>
      </c>
      <c r="F97" s="1">
        <v>3</v>
      </c>
    </row>
    <row r="98" spans="1:6">
      <c r="A98" s="3" t="s">
        <v>238</v>
      </c>
      <c r="B98" s="1" t="str">
        <f t="shared" si="1"/>
        <v>50x50x4</v>
      </c>
      <c r="C98" s="3" t="s">
        <v>238</v>
      </c>
      <c r="D98" s="1">
        <v>50</v>
      </c>
      <c r="E98" s="1">
        <v>50</v>
      </c>
      <c r="F98" s="1">
        <v>4</v>
      </c>
    </row>
    <row r="99" spans="1:6">
      <c r="A99" s="3" t="s">
        <v>239</v>
      </c>
      <c r="B99" s="1" t="str">
        <f t="shared" si="1"/>
        <v>50x50x50</v>
      </c>
      <c r="C99" s="3" t="s">
        <v>239</v>
      </c>
      <c r="D99" s="1">
        <v>50</v>
      </c>
      <c r="E99" s="1">
        <v>50</v>
      </c>
      <c r="F99" s="1">
        <v>50</v>
      </c>
    </row>
    <row r="100" spans="1:6">
      <c r="A100" s="3" t="s">
        <v>240</v>
      </c>
      <c r="B100" s="1" t="str">
        <f t="shared" si="1"/>
        <v>50.3x28.5x4</v>
      </c>
      <c r="C100" s="3" t="s">
        <v>240</v>
      </c>
      <c r="D100" s="1">
        <v>50.3</v>
      </c>
      <c r="E100" s="1">
        <v>28.5</v>
      </c>
      <c r="F100" s="1">
        <v>4</v>
      </c>
    </row>
    <row r="101" spans="1:6">
      <c r="A101" s="3" t="s">
        <v>241</v>
      </c>
      <c r="B101" s="1" t="str">
        <f t="shared" si="1"/>
        <v>55x55x8</v>
      </c>
      <c r="C101" s="3" t="s">
        <v>241</v>
      </c>
      <c r="D101" s="1">
        <v>55</v>
      </c>
      <c r="E101" s="1">
        <v>55</v>
      </c>
      <c r="F101" s="1">
        <v>8</v>
      </c>
    </row>
    <row r="102" spans="1:6">
      <c r="A102" s="3" t="s">
        <v>242</v>
      </c>
      <c r="B102" s="1" t="str">
        <f t="shared" si="1"/>
        <v>55x55x10</v>
      </c>
      <c r="C102" s="3" t="s">
        <v>242</v>
      </c>
      <c r="D102" s="1">
        <v>55</v>
      </c>
      <c r="E102" s="1">
        <v>55</v>
      </c>
      <c r="F102" s="1">
        <v>10</v>
      </c>
    </row>
    <row r="103" spans="1:6">
      <c r="A103" s="3" t="s">
        <v>243</v>
      </c>
      <c r="B103" s="1" t="str">
        <f t="shared" si="1"/>
        <v>60x8x1.2</v>
      </c>
      <c r="C103" s="3" t="s">
        <v>243</v>
      </c>
      <c r="D103" s="1">
        <v>60</v>
      </c>
      <c r="E103" s="1">
        <v>8</v>
      </c>
      <c r="F103" s="1">
        <v>1.2</v>
      </c>
    </row>
    <row r="104" spans="1:6">
      <c r="A104" s="3" t="s">
        <v>244</v>
      </c>
      <c r="B104" s="1" t="str">
        <f t="shared" si="1"/>
        <v>60x9x9</v>
      </c>
      <c r="C104" s="3" t="s">
        <v>244</v>
      </c>
      <c r="D104" s="1">
        <v>60</v>
      </c>
      <c r="E104" s="1">
        <v>9</v>
      </c>
      <c r="F104" s="1">
        <v>9</v>
      </c>
    </row>
    <row r="105" spans="1:6">
      <c r="A105" s="3" t="s">
        <v>245</v>
      </c>
      <c r="B105" s="1" t="str">
        <f t="shared" si="1"/>
        <v>60x10x10</v>
      </c>
      <c r="C105" s="3" t="s">
        <v>245</v>
      </c>
      <c r="D105" s="1">
        <v>60</v>
      </c>
      <c r="E105" s="1">
        <v>10</v>
      </c>
      <c r="F105" s="1">
        <v>10</v>
      </c>
    </row>
    <row r="106" spans="1:6">
      <c r="A106" s="3" t="s">
        <v>246</v>
      </c>
      <c r="B106" s="1" t="str">
        <f t="shared" si="1"/>
        <v>60x12x10</v>
      </c>
      <c r="C106" s="3" t="s">
        <v>246</v>
      </c>
      <c r="D106" s="1">
        <v>60</v>
      </c>
      <c r="E106" s="1">
        <v>12</v>
      </c>
      <c r="F106" s="1">
        <v>10</v>
      </c>
    </row>
    <row r="107" spans="1:6">
      <c r="A107" s="3" t="s">
        <v>247</v>
      </c>
      <c r="B107" s="1" t="str">
        <f t="shared" si="1"/>
        <v>60x12x12</v>
      </c>
      <c r="C107" s="3" t="s">
        <v>247</v>
      </c>
      <c r="D107" s="1">
        <v>60</v>
      </c>
      <c r="E107" s="1">
        <v>12</v>
      </c>
      <c r="F107" s="1">
        <v>12</v>
      </c>
    </row>
    <row r="108" spans="1:6">
      <c r="A108" s="3" t="s">
        <v>248</v>
      </c>
      <c r="B108" s="1" t="str">
        <f t="shared" si="1"/>
        <v>60x15x12</v>
      </c>
      <c r="C108" s="3" t="s">
        <v>248</v>
      </c>
      <c r="D108" s="1">
        <v>60</v>
      </c>
      <c r="E108" s="1">
        <v>15</v>
      </c>
      <c r="F108" s="1">
        <v>12</v>
      </c>
    </row>
    <row r="109" spans="1:6">
      <c r="A109" s="3" t="s">
        <v>249</v>
      </c>
      <c r="B109" s="1" t="str">
        <f t="shared" si="1"/>
        <v>60x20x6</v>
      </c>
      <c r="C109" s="3" t="s">
        <v>249</v>
      </c>
      <c r="D109" s="1">
        <v>60</v>
      </c>
      <c r="E109" s="1">
        <v>20</v>
      </c>
      <c r="F109" s="1">
        <v>6</v>
      </c>
    </row>
    <row r="110" spans="1:6">
      <c r="A110" s="3" t="s">
        <v>250</v>
      </c>
      <c r="B110" s="1" t="str">
        <f t="shared" si="1"/>
        <v>60x25x10</v>
      </c>
      <c r="C110" s="3" t="s">
        <v>250</v>
      </c>
      <c r="D110" s="1">
        <v>60</v>
      </c>
      <c r="E110" s="1">
        <v>25</v>
      </c>
      <c r="F110" s="1">
        <v>10</v>
      </c>
    </row>
    <row r="111" spans="1:6">
      <c r="A111" s="3" t="s">
        <v>251</v>
      </c>
      <c r="B111" s="1" t="str">
        <f t="shared" si="1"/>
        <v>60x30x2</v>
      </c>
      <c r="C111" s="3" t="s">
        <v>251</v>
      </c>
      <c r="D111" s="1">
        <v>60</v>
      </c>
      <c r="E111" s="1">
        <v>30</v>
      </c>
      <c r="F111" s="1">
        <v>2</v>
      </c>
    </row>
    <row r="112" spans="1:6">
      <c r="A112" s="3" t="s">
        <v>252</v>
      </c>
      <c r="B112" s="1" t="str">
        <f t="shared" si="1"/>
        <v>60x30x3</v>
      </c>
      <c r="C112" s="3" t="s">
        <v>252</v>
      </c>
      <c r="D112" s="1">
        <v>60</v>
      </c>
      <c r="E112" s="1">
        <v>30</v>
      </c>
      <c r="F112" s="1">
        <v>3</v>
      </c>
    </row>
    <row r="113" spans="1:6">
      <c r="A113" s="3" t="s">
        <v>253</v>
      </c>
      <c r="B113" s="1" t="str">
        <f t="shared" si="1"/>
        <v>60x30x5</v>
      </c>
      <c r="C113" s="3" t="s">
        <v>253</v>
      </c>
      <c r="D113" s="1">
        <v>60</v>
      </c>
      <c r="E113" s="1">
        <v>30</v>
      </c>
      <c r="F113" s="1">
        <v>5</v>
      </c>
    </row>
    <row r="114" spans="1:6">
      <c r="A114" s="3" t="s">
        <v>254</v>
      </c>
      <c r="B114" s="1" t="str">
        <f t="shared" si="1"/>
        <v>60x30x6</v>
      </c>
      <c r="C114" s="3" t="s">
        <v>254</v>
      </c>
      <c r="D114" s="1">
        <v>60</v>
      </c>
      <c r="E114" s="1">
        <v>30</v>
      </c>
      <c r="F114" s="1">
        <v>6</v>
      </c>
    </row>
    <row r="115" spans="1:6">
      <c r="A115" s="3" t="s">
        <v>255</v>
      </c>
      <c r="B115" s="1" t="str">
        <f t="shared" si="1"/>
        <v>60x30x7</v>
      </c>
      <c r="C115" s="3" t="s">
        <v>255</v>
      </c>
      <c r="D115" s="1">
        <v>60</v>
      </c>
      <c r="E115" s="1">
        <v>30</v>
      </c>
      <c r="F115" s="1">
        <v>7</v>
      </c>
    </row>
    <row r="116" spans="1:6">
      <c r="A116" s="3" t="s">
        <v>256</v>
      </c>
      <c r="B116" s="1" t="str">
        <f t="shared" si="1"/>
        <v>60x35x3</v>
      </c>
      <c r="C116" s="3" t="s">
        <v>256</v>
      </c>
      <c r="D116" s="1">
        <v>60</v>
      </c>
      <c r="E116" s="1">
        <v>35</v>
      </c>
      <c r="F116" s="1">
        <v>3</v>
      </c>
    </row>
    <row r="117" spans="1:6">
      <c r="A117" s="3" t="s">
        <v>257</v>
      </c>
      <c r="B117" s="1" t="str">
        <f t="shared" si="1"/>
        <v>60x35x15</v>
      </c>
      <c r="C117" s="3" t="s">
        <v>257</v>
      </c>
      <c r="D117" s="1">
        <v>60</v>
      </c>
      <c r="E117" s="1">
        <v>35</v>
      </c>
      <c r="F117" s="1">
        <v>15</v>
      </c>
    </row>
    <row r="118" spans="1:6">
      <c r="A118" s="3" t="s">
        <v>258</v>
      </c>
      <c r="B118" s="1" t="str">
        <f t="shared" si="1"/>
        <v>60x40x2</v>
      </c>
      <c r="C118" s="3" t="s">
        <v>258</v>
      </c>
      <c r="D118" s="1">
        <v>60</v>
      </c>
      <c r="E118" s="1">
        <v>40</v>
      </c>
      <c r="F118" s="1">
        <v>2</v>
      </c>
    </row>
    <row r="119" spans="1:6">
      <c r="A119" s="3" t="s">
        <v>259</v>
      </c>
      <c r="B119" s="1" t="str">
        <f t="shared" si="1"/>
        <v>60x40x2.5</v>
      </c>
      <c r="C119" s="3" t="s">
        <v>259</v>
      </c>
      <c r="D119" s="1">
        <v>60</v>
      </c>
      <c r="E119" s="1">
        <v>40</v>
      </c>
      <c r="F119" s="1">
        <v>2.5</v>
      </c>
    </row>
    <row r="120" spans="1:6">
      <c r="A120" s="3" t="s">
        <v>260</v>
      </c>
      <c r="B120" s="1" t="str">
        <f t="shared" si="1"/>
        <v>60x40x3</v>
      </c>
      <c r="C120" s="3" t="s">
        <v>260</v>
      </c>
      <c r="D120" s="1">
        <v>60</v>
      </c>
      <c r="E120" s="1">
        <v>40</v>
      </c>
      <c r="F120" s="1">
        <v>3</v>
      </c>
    </row>
    <row r="121" spans="1:6">
      <c r="A121" s="3" t="s">
        <v>261</v>
      </c>
      <c r="B121" s="1" t="str">
        <f t="shared" si="1"/>
        <v>60x40x6</v>
      </c>
      <c r="C121" s="3" t="s">
        <v>261</v>
      </c>
      <c r="D121" s="1">
        <v>60</v>
      </c>
      <c r="E121" s="1">
        <v>40</v>
      </c>
      <c r="F121" s="1">
        <v>6</v>
      </c>
    </row>
    <row r="122" spans="1:6">
      <c r="A122" s="3" t="s">
        <v>262</v>
      </c>
      <c r="B122" s="1" t="str">
        <f t="shared" si="1"/>
        <v>60x60x2</v>
      </c>
      <c r="C122" s="3" t="s">
        <v>262</v>
      </c>
      <c r="D122" s="1">
        <v>60</v>
      </c>
      <c r="E122" s="1">
        <v>60</v>
      </c>
      <c r="F122" s="1">
        <v>2</v>
      </c>
    </row>
    <row r="123" spans="1:6">
      <c r="A123" s="3" t="s">
        <v>263</v>
      </c>
      <c r="B123" s="1" t="str">
        <f t="shared" si="1"/>
        <v>60x60x2.5</v>
      </c>
      <c r="C123" s="3" t="s">
        <v>263</v>
      </c>
      <c r="D123" s="1">
        <v>60</v>
      </c>
      <c r="E123" s="1">
        <v>60</v>
      </c>
      <c r="F123" s="1">
        <v>2.5</v>
      </c>
    </row>
    <row r="124" spans="1:6">
      <c r="A124" s="3" t="s">
        <v>264</v>
      </c>
      <c r="B124" s="1" t="str">
        <f t="shared" si="1"/>
        <v>60x60x3</v>
      </c>
      <c r="C124" s="3" t="s">
        <v>264</v>
      </c>
      <c r="D124" s="1">
        <v>60</v>
      </c>
      <c r="E124" s="1">
        <v>60</v>
      </c>
      <c r="F124" s="1">
        <v>3</v>
      </c>
    </row>
    <row r="125" spans="1:6">
      <c r="A125" s="3" t="s">
        <v>265</v>
      </c>
      <c r="B125" s="1" t="str">
        <f t="shared" si="1"/>
        <v>61x20.3x1.5</v>
      </c>
      <c r="C125" s="3" t="s">
        <v>265</v>
      </c>
      <c r="D125" s="1">
        <v>61</v>
      </c>
      <c r="E125" s="1">
        <v>20.3</v>
      </c>
      <c r="F125" s="1">
        <v>1.5</v>
      </c>
    </row>
    <row r="126" spans="1:6">
      <c r="A126" s="3" t="s">
        <v>266</v>
      </c>
      <c r="B126" s="1" t="str">
        <f t="shared" si="1"/>
        <v>61x27.9x1.5</v>
      </c>
      <c r="C126" s="3" t="s">
        <v>266</v>
      </c>
      <c r="D126" s="1">
        <v>61</v>
      </c>
      <c r="E126" s="1">
        <v>27.9</v>
      </c>
      <c r="F126" s="1">
        <v>1.5</v>
      </c>
    </row>
    <row r="127" spans="1:6">
      <c r="A127" s="3" t="s">
        <v>267</v>
      </c>
      <c r="B127" s="1" t="str">
        <f t="shared" si="1"/>
        <v>61x30.5x1.2</v>
      </c>
      <c r="C127" s="3" t="s">
        <v>267</v>
      </c>
      <c r="D127" s="1">
        <v>61</v>
      </c>
      <c r="E127" s="1">
        <v>30.5</v>
      </c>
      <c r="F127" s="1">
        <v>1.2</v>
      </c>
    </row>
    <row r="128" spans="1:6">
      <c r="A128" s="3" t="s">
        <v>268</v>
      </c>
      <c r="B128" s="1" t="str">
        <f t="shared" si="1"/>
        <v>61x30.5x1.5</v>
      </c>
      <c r="C128" s="3" t="s">
        <v>268</v>
      </c>
      <c r="D128" s="1">
        <v>61</v>
      </c>
      <c r="E128" s="1">
        <v>30.5</v>
      </c>
      <c r="F128" s="1">
        <v>1.5</v>
      </c>
    </row>
    <row r="129" spans="1:6">
      <c r="A129" s="3" t="s">
        <v>269</v>
      </c>
      <c r="B129" s="1" t="str">
        <f t="shared" si="1"/>
        <v>61x35.6x1.5</v>
      </c>
      <c r="C129" s="3" t="s">
        <v>269</v>
      </c>
      <c r="D129" s="1">
        <v>61</v>
      </c>
      <c r="E129" s="1">
        <v>35.6</v>
      </c>
      <c r="F129" s="1">
        <v>1.5</v>
      </c>
    </row>
    <row r="130" spans="1:6">
      <c r="A130" s="3" t="s">
        <v>270</v>
      </c>
      <c r="B130" s="1" t="str">
        <f t="shared" si="1"/>
        <v>61x40.6x1.5</v>
      </c>
      <c r="C130" s="3" t="s">
        <v>270</v>
      </c>
      <c r="D130" s="1">
        <v>61</v>
      </c>
      <c r="E130" s="1">
        <v>40.6</v>
      </c>
      <c r="F130" s="1">
        <v>1.5</v>
      </c>
    </row>
    <row r="131" spans="1:6">
      <c r="A131" s="3" t="s">
        <v>271</v>
      </c>
      <c r="B131" s="1" t="str">
        <f t="shared" si="1"/>
        <v>61x40.6x3</v>
      </c>
      <c r="C131" s="3" t="s">
        <v>271</v>
      </c>
      <c r="D131" s="1">
        <v>61</v>
      </c>
      <c r="E131" s="1">
        <v>40.6</v>
      </c>
      <c r="F131" s="1">
        <v>3</v>
      </c>
    </row>
    <row r="132" spans="1:6">
      <c r="A132" s="3" t="s">
        <v>272</v>
      </c>
      <c r="B132" s="1" t="str">
        <f t="shared" ref="B132:B195" si="2">D132&amp;"x"&amp;E132&amp;"x"&amp;F132</f>
        <v>61x40.6x5</v>
      </c>
      <c r="C132" s="3" t="s">
        <v>272</v>
      </c>
      <c r="D132" s="1">
        <v>61</v>
      </c>
      <c r="E132" s="1">
        <v>40.6</v>
      </c>
      <c r="F132" s="1">
        <v>5</v>
      </c>
    </row>
    <row r="133" spans="1:6">
      <c r="A133" s="3" t="s">
        <v>273</v>
      </c>
      <c r="B133" s="1" t="str">
        <f t="shared" si="2"/>
        <v>61x45.7x1.5</v>
      </c>
      <c r="C133" s="3" t="s">
        <v>273</v>
      </c>
      <c r="D133" s="1">
        <v>61</v>
      </c>
      <c r="E133" s="1">
        <v>45.7</v>
      </c>
      <c r="F133" s="1">
        <v>1.5</v>
      </c>
    </row>
    <row r="134" spans="1:6">
      <c r="A134" s="3" t="s">
        <v>274</v>
      </c>
      <c r="B134" s="1" t="str">
        <f t="shared" si="2"/>
        <v>61x61x1.5</v>
      </c>
      <c r="C134" s="3" t="s">
        <v>274</v>
      </c>
      <c r="D134" s="1">
        <v>61</v>
      </c>
      <c r="E134" s="1">
        <v>61</v>
      </c>
      <c r="F134" s="1">
        <v>1.5</v>
      </c>
    </row>
    <row r="135" spans="1:6">
      <c r="A135" s="3" t="s">
        <v>275</v>
      </c>
      <c r="B135" s="1" t="str">
        <f t="shared" si="2"/>
        <v>61x121.9x2</v>
      </c>
      <c r="C135" s="3" t="s">
        <v>275</v>
      </c>
      <c r="D135" s="1">
        <v>61</v>
      </c>
      <c r="E135" s="1">
        <v>121.9</v>
      </c>
      <c r="F135" s="1">
        <v>2</v>
      </c>
    </row>
    <row r="136" spans="1:6">
      <c r="A136" s="3" t="s">
        <v>276</v>
      </c>
      <c r="B136" s="1" t="str">
        <f t="shared" si="2"/>
        <v>61x121.9x4</v>
      </c>
      <c r="C136" s="3" t="s">
        <v>276</v>
      </c>
      <c r="D136" s="1">
        <v>61</v>
      </c>
      <c r="E136" s="1">
        <v>121.9</v>
      </c>
      <c r="F136" s="1">
        <v>4</v>
      </c>
    </row>
    <row r="137" spans="1:6">
      <c r="A137" s="3" t="s">
        <v>277</v>
      </c>
      <c r="B137" s="1" t="str">
        <f t="shared" si="2"/>
        <v>62.5x7.5x2</v>
      </c>
      <c r="C137" s="3" t="s">
        <v>277</v>
      </c>
      <c r="D137" s="1">
        <v>62.5</v>
      </c>
      <c r="E137" s="1">
        <v>7.5</v>
      </c>
      <c r="F137" s="1">
        <v>2</v>
      </c>
    </row>
    <row r="138" spans="1:6">
      <c r="A138" s="3" t="s">
        <v>278</v>
      </c>
      <c r="B138" s="1" t="str">
        <f t="shared" si="2"/>
        <v>63.3x29.4x3</v>
      </c>
      <c r="C138" s="3" t="s">
        <v>278</v>
      </c>
      <c r="D138" s="1">
        <v>63.3</v>
      </c>
      <c r="E138" s="1">
        <v>29.4</v>
      </c>
      <c r="F138" s="1">
        <v>3</v>
      </c>
    </row>
    <row r="139" spans="1:6">
      <c r="A139" s="3" t="s">
        <v>279</v>
      </c>
      <c r="B139" s="1" t="str">
        <f t="shared" si="2"/>
        <v>63.3x39.5x3</v>
      </c>
      <c r="C139" s="3" t="s">
        <v>279</v>
      </c>
      <c r="D139" s="1">
        <v>63.3</v>
      </c>
      <c r="E139" s="1">
        <v>39.5</v>
      </c>
      <c r="F139" s="1">
        <v>3</v>
      </c>
    </row>
    <row r="140" spans="1:6">
      <c r="A140" s="3" t="s">
        <v>280</v>
      </c>
      <c r="B140" s="1" t="str">
        <f t="shared" si="2"/>
        <v>65x8x2</v>
      </c>
      <c r="C140" s="3" t="s">
        <v>280</v>
      </c>
      <c r="D140" s="1">
        <v>65</v>
      </c>
      <c r="E140" s="1">
        <v>8</v>
      </c>
      <c r="F140" s="1">
        <v>2</v>
      </c>
    </row>
    <row r="141" spans="1:6">
      <c r="A141" s="3" t="s">
        <v>281</v>
      </c>
      <c r="B141" s="1" t="str">
        <f t="shared" si="2"/>
        <v>70x50x3</v>
      </c>
      <c r="C141" s="3" t="s">
        <v>281</v>
      </c>
      <c r="D141" s="1">
        <v>70</v>
      </c>
      <c r="E141" s="1">
        <v>50</v>
      </c>
      <c r="F141" s="1">
        <v>3</v>
      </c>
    </row>
    <row r="142" spans="1:6">
      <c r="A142" s="3" t="s">
        <v>282</v>
      </c>
      <c r="B142" s="1" t="str">
        <f t="shared" si="2"/>
        <v>70x50x50</v>
      </c>
      <c r="C142" s="3" t="s">
        <v>282</v>
      </c>
      <c r="D142" s="1">
        <v>70</v>
      </c>
      <c r="E142" s="1">
        <v>50</v>
      </c>
      <c r="F142" s="1">
        <v>50</v>
      </c>
    </row>
    <row r="143" spans="1:6">
      <c r="A143" s="3" t="s">
        <v>283</v>
      </c>
      <c r="B143" s="1" t="str">
        <f t="shared" si="2"/>
        <v>71.9x63.3x3</v>
      </c>
      <c r="C143" s="3" t="s">
        <v>283</v>
      </c>
      <c r="D143" s="1">
        <v>71.900000000000006</v>
      </c>
      <c r="E143" s="1">
        <v>63.3</v>
      </c>
      <c r="F143" s="1">
        <v>3</v>
      </c>
    </row>
    <row r="144" spans="1:6">
      <c r="A144" s="3" t="s">
        <v>284</v>
      </c>
      <c r="B144" s="1" t="str">
        <f t="shared" si="2"/>
        <v>72.8x28.5x4</v>
      </c>
      <c r="C144" s="3" t="s">
        <v>284</v>
      </c>
      <c r="D144" s="1">
        <v>72.8</v>
      </c>
      <c r="E144" s="1">
        <v>28.5</v>
      </c>
      <c r="F144" s="1">
        <v>4</v>
      </c>
    </row>
    <row r="145" spans="1:6">
      <c r="A145" s="3" t="s">
        <v>285</v>
      </c>
      <c r="B145" s="1" t="str">
        <f t="shared" si="2"/>
        <v>74.8x47.1x5</v>
      </c>
      <c r="C145" s="3" t="s">
        <v>285</v>
      </c>
      <c r="D145" s="1">
        <v>74.8</v>
      </c>
      <c r="E145" s="1">
        <v>47.1</v>
      </c>
      <c r="F145" s="1">
        <v>5</v>
      </c>
    </row>
    <row r="146" spans="1:6">
      <c r="A146" s="3" t="s">
        <v>286</v>
      </c>
      <c r="B146" s="1" t="str">
        <f t="shared" si="2"/>
        <v>75x12x12</v>
      </c>
      <c r="C146" s="3" t="s">
        <v>286</v>
      </c>
      <c r="D146" s="1">
        <v>75</v>
      </c>
      <c r="E146" s="1">
        <v>12</v>
      </c>
      <c r="F146" s="1">
        <v>12</v>
      </c>
    </row>
    <row r="147" spans="1:6">
      <c r="A147" s="3" t="s">
        <v>287</v>
      </c>
      <c r="B147" s="1" t="str">
        <f t="shared" si="2"/>
        <v>75x25x7</v>
      </c>
      <c r="C147" s="3" t="s">
        <v>287</v>
      </c>
      <c r="D147" s="1">
        <v>75</v>
      </c>
      <c r="E147" s="1">
        <v>25</v>
      </c>
      <c r="F147" s="1">
        <v>7</v>
      </c>
    </row>
    <row r="148" spans="1:6">
      <c r="A148" s="3" t="s">
        <v>288</v>
      </c>
      <c r="B148" s="1" t="str">
        <f t="shared" si="2"/>
        <v>75x25x8</v>
      </c>
      <c r="C148" s="3" t="s">
        <v>288</v>
      </c>
      <c r="D148" s="1">
        <v>75</v>
      </c>
      <c r="E148" s="1">
        <v>25</v>
      </c>
      <c r="F148" s="1">
        <v>8</v>
      </c>
    </row>
    <row r="149" spans="1:6">
      <c r="A149" s="3" t="s">
        <v>289</v>
      </c>
      <c r="B149" s="1" t="str">
        <f t="shared" si="2"/>
        <v>75x25x10</v>
      </c>
      <c r="C149" s="3" t="s">
        <v>289</v>
      </c>
      <c r="D149" s="1">
        <v>75</v>
      </c>
      <c r="E149" s="1">
        <v>25</v>
      </c>
      <c r="F149" s="1">
        <v>10</v>
      </c>
    </row>
    <row r="150" spans="1:6">
      <c r="A150" s="3" t="s">
        <v>290</v>
      </c>
      <c r="B150" s="1" t="str">
        <f t="shared" si="2"/>
        <v>75x25x25</v>
      </c>
      <c r="C150" s="3" t="s">
        <v>290</v>
      </c>
      <c r="D150" s="1">
        <v>75</v>
      </c>
      <c r="E150" s="1">
        <v>25</v>
      </c>
      <c r="F150" s="1">
        <v>25</v>
      </c>
    </row>
    <row r="151" spans="1:6">
      <c r="A151" s="3" t="s">
        <v>291</v>
      </c>
      <c r="B151" s="1" t="str">
        <f t="shared" si="2"/>
        <v>75x30x4</v>
      </c>
      <c r="C151" s="3" t="s">
        <v>291</v>
      </c>
      <c r="D151" s="1">
        <v>75</v>
      </c>
      <c r="E151" s="1">
        <v>30</v>
      </c>
      <c r="F151" s="1">
        <v>4</v>
      </c>
    </row>
    <row r="152" spans="1:6">
      <c r="A152" s="3" t="s">
        <v>292</v>
      </c>
      <c r="B152" s="1" t="str">
        <f t="shared" si="2"/>
        <v>75x35x4</v>
      </c>
      <c r="C152" s="3" t="s">
        <v>292</v>
      </c>
      <c r="D152" s="1">
        <v>75</v>
      </c>
      <c r="E152" s="1">
        <v>35</v>
      </c>
      <c r="F152" s="1">
        <v>4</v>
      </c>
    </row>
    <row r="153" spans="1:6">
      <c r="A153" s="3" t="s">
        <v>293</v>
      </c>
      <c r="B153" s="1" t="str">
        <f t="shared" si="2"/>
        <v>75x35x15</v>
      </c>
      <c r="C153" s="3" t="s">
        <v>293</v>
      </c>
      <c r="D153" s="1">
        <v>75</v>
      </c>
      <c r="E153" s="1">
        <v>35</v>
      </c>
      <c r="F153" s="1">
        <v>15</v>
      </c>
    </row>
    <row r="154" spans="1:6">
      <c r="A154" s="3" t="s">
        <v>294</v>
      </c>
      <c r="B154" s="1" t="str">
        <f t="shared" si="2"/>
        <v>75x40x4</v>
      </c>
      <c r="C154" s="3" t="s">
        <v>294</v>
      </c>
      <c r="D154" s="1">
        <v>75</v>
      </c>
      <c r="E154" s="1">
        <v>40</v>
      </c>
      <c r="F154" s="1">
        <v>4</v>
      </c>
    </row>
    <row r="155" spans="1:6">
      <c r="A155" s="3" t="s">
        <v>295</v>
      </c>
      <c r="B155" s="1" t="str">
        <f t="shared" si="2"/>
        <v>75.4x28.5x4</v>
      </c>
      <c r="C155" s="3" t="s">
        <v>295</v>
      </c>
      <c r="D155" s="1">
        <v>75.400000000000006</v>
      </c>
      <c r="E155" s="1">
        <v>28.5</v>
      </c>
      <c r="F155" s="1">
        <v>4</v>
      </c>
    </row>
    <row r="156" spans="1:6">
      <c r="A156" s="3" t="s">
        <v>296</v>
      </c>
      <c r="B156" s="1" t="str">
        <f t="shared" si="2"/>
        <v>80x8x1.2</v>
      </c>
      <c r="C156" s="3" t="s">
        <v>296</v>
      </c>
      <c r="D156" s="1">
        <v>80</v>
      </c>
      <c r="E156" s="1">
        <v>8</v>
      </c>
      <c r="F156" s="1">
        <v>1.2</v>
      </c>
    </row>
    <row r="157" spans="1:6">
      <c r="A157" s="3" t="s">
        <v>297</v>
      </c>
      <c r="B157" s="1" t="str">
        <f t="shared" si="2"/>
        <v>80x8x2</v>
      </c>
      <c r="C157" s="3" t="s">
        <v>297</v>
      </c>
      <c r="D157" s="1">
        <v>80</v>
      </c>
      <c r="E157" s="1">
        <v>8</v>
      </c>
      <c r="F157" s="1">
        <v>2</v>
      </c>
    </row>
    <row r="158" spans="1:6">
      <c r="A158" s="3" t="s">
        <v>298</v>
      </c>
      <c r="B158" s="1" t="str">
        <f t="shared" si="2"/>
        <v>80x25x10</v>
      </c>
      <c r="C158" s="3" t="s">
        <v>298</v>
      </c>
      <c r="D158" s="1">
        <v>80</v>
      </c>
      <c r="E158" s="1">
        <v>25</v>
      </c>
      <c r="F158" s="1">
        <v>10</v>
      </c>
    </row>
    <row r="159" spans="1:6">
      <c r="A159" s="3" t="s">
        <v>299</v>
      </c>
      <c r="B159" s="1" t="str">
        <f t="shared" si="2"/>
        <v>80x30x3</v>
      </c>
      <c r="C159" s="3" t="s">
        <v>299</v>
      </c>
      <c r="D159" s="1">
        <v>80</v>
      </c>
      <c r="E159" s="1">
        <v>30</v>
      </c>
      <c r="F159" s="1">
        <v>3</v>
      </c>
    </row>
    <row r="160" spans="1:6">
      <c r="A160" s="3" t="s">
        <v>300</v>
      </c>
      <c r="B160" s="1" t="str">
        <f t="shared" si="2"/>
        <v>80x35x15</v>
      </c>
      <c r="C160" s="3" t="s">
        <v>300</v>
      </c>
      <c r="D160" s="1">
        <v>80</v>
      </c>
      <c r="E160" s="1">
        <v>35</v>
      </c>
      <c r="F160" s="1">
        <v>15</v>
      </c>
    </row>
    <row r="161" spans="1:6">
      <c r="A161" s="3" t="s">
        <v>301</v>
      </c>
      <c r="B161" s="1" t="str">
        <f t="shared" si="2"/>
        <v>80x40x3</v>
      </c>
      <c r="C161" s="3" t="s">
        <v>301</v>
      </c>
      <c r="D161" s="1">
        <v>80</v>
      </c>
      <c r="E161" s="1">
        <v>40</v>
      </c>
      <c r="F161" s="1">
        <v>3</v>
      </c>
    </row>
    <row r="162" spans="1:6">
      <c r="A162" s="3" t="s">
        <v>302</v>
      </c>
      <c r="B162" s="1" t="str">
        <f t="shared" si="2"/>
        <v>80x40x4</v>
      </c>
      <c r="C162" s="3" t="s">
        <v>302</v>
      </c>
      <c r="D162" s="1">
        <v>80</v>
      </c>
      <c r="E162" s="1">
        <v>40</v>
      </c>
      <c r="F162" s="1">
        <v>4</v>
      </c>
    </row>
    <row r="163" spans="1:6">
      <c r="A163" s="3" t="s">
        <v>303</v>
      </c>
      <c r="B163" s="1" t="str">
        <f t="shared" si="2"/>
        <v>80x40x6</v>
      </c>
      <c r="C163" s="3" t="s">
        <v>303</v>
      </c>
      <c r="D163" s="1">
        <v>80</v>
      </c>
      <c r="E163" s="1">
        <v>40</v>
      </c>
      <c r="F163" s="1">
        <v>6</v>
      </c>
    </row>
    <row r="164" spans="1:6">
      <c r="A164" s="3" t="s">
        <v>304</v>
      </c>
      <c r="B164" s="1" t="str">
        <f t="shared" si="2"/>
        <v>81.3x45.7x2</v>
      </c>
      <c r="C164" s="3" t="s">
        <v>304</v>
      </c>
      <c r="D164" s="1">
        <v>81.3</v>
      </c>
      <c r="E164" s="1">
        <v>45.7</v>
      </c>
      <c r="F164" s="1">
        <v>2</v>
      </c>
    </row>
    <row r="165" spans="1:6">
      <c r="A165" s="3" t="s">
        <v>305</v>
      </c>
      <c r="B165" s="1" t="str">
        <f t="shared" si="2"/>
        <v>86.4x50.8x2</v>
      </c>
      <c r="C165" s="3" t="s">
        <v>305</v>
      </c>
      <c r="D165" s="1">
        <v>86.4</v>
      </c>
      <c r="E165" s="1">
        <v>50.8</v>
      </c>
      <c r="F165" s="1">
        <v>2</v>
      </c>
    </row>
    <row r="166" spans="1:6">
      <c r="A166" s="3" t="s">
        <v>306</v>
      </c>
      <c r="B166" s="1" t="str">
        <f t="shared" si="2"/>
        <v>88.5x28.5x4</v>
      </c>
      <c r="C166" s="3" t="s">
        <v>306</v>
      </c>
      <c r="D166" s="1">
        <v>88.5</v>
      </c>
      <c r="E166" s="1">
        <v>28.5</v>
      </c>
      <c r="F166" s="1">
        <v>4</v>
      </c>
    </row>
    <row r="167" spans="1:6">
      <c r="A167" s="3" t="s">
        <v>307</v>
      </c>
      <c r="B167" s="1" t="str">
        <f t="shared" si="2"/>
        <v>90x10x10</v>
      </c>
      <c r="C167" s="3" t="s">
        <v>307</v>
      </c>
      <c r="D167" s="1">
        <v>90</v>
      </c>
      <c r="E167" s="1">
        <v>10</v>
      </c>
      <c r="F167" s="1">
        <v>10</v>
      </c>
    </row>
    <row r="168" spans="1:6">
      <c r="A168" s="3" t="s">
        <v>308</v>
      </c>
      <c r="B168" s="1" t="str">
        <f t="shared" si="2"/>
        <v>90x12x12</v>
      </c>
      <c r="C168" s="3" t="s">
        <v>308</v>
      </c>
      <c r="D168" s="1">
        <v>90</v>
      </c>
      <c r="E168" s="1">
        <v>12</v>
      </c>
      <c r="F168" s="1">
        <v>12</v>
      </c>
    </row>
    <row r="169" spans="1:6">
      <c r="A169" s="3" t="s">
        <v>309</v>
      </c>
      <c r="B169" s="1" t="str">
        <f t="shared" si="2"/>
        <v>90x15x10</v>
      </c>
      <c r="C169" s="3" t="s">
        <v>309</v>
      </c>
      <c r="D169" s="1">
        <v>90</v>
      </c>
      <c r="E169" s="1">
        <v>15</v>
      </c>
      <c r="F169" s="1">
        <v>10</v>
      </c>
    </row>
    <row r="170" spans="1:6">
      <c r="A170" s="3" t="s">
        <v>310</v>
      </c>
      <c r="B170" s="1" t="str">
        <f t="shared" si="2"/>
        <v>90x15x12</v>
      </c>
      <c r="C170" s="3" t="s">
        <v>310</v>
      </c>
      <c r="D170" s="1">
        <v>90</v>
      </c>
      <c r="E170" s="1">
        <v>15</v>
      </c>
      <c r="F170" s="1">
        <v>12</v>
      </c>
    </row>
    <row r="171" spans="1:6">
      <c r="A171" s="3" t="s">
        <v>311</v>
      </c>
      <c r="B171" s="1" t="str">
        <f t="shared" si="2"/>
        <v>90x45x3</v>
      </c>
      <c r="C171" s="3" t="s">
        <v>311</v>
      </c>
      <c r="D171" s="1">
        <v>90</v>
      </c>
      <c r="E171" s="1">
        <v>45</v>
      </c>
      <c r="F171" s="1">
        <v>3</v>
      </c>
    </row>
    <row r="172" spans="1:6">
      <c r="A172" s="3" t="s">
        <v>312</v>
      </c>
      <c r="B172" s="1" t="str">
        <f t="shared" si="2"/>
        <v>90x45x6</v>
      </c>
      <c r="C172" s="3" t="s">
        <v>312</v>
      </c>
      <c r="D172" s="1">
        <v>90</v>
      </c>
      <c r="E172" s="1">
        <v>45</v>
      </c>
      <c r="F172" s="1">
        <v>6</v>
      </c>
    </row>
    <row r="173" spans="1:6">
      <c r="A173" s="3" t="s">
        <v>313</v>
      </c>
      <c r="B173" s="1" t="str">
        <f t="shared" si="2"/>
        <v>90x45x7</v>
      </c>
      <c r="C173" s="3" t="s">
        <v>313</v>
      </c>
      <c r="D173" s="1">
        <v>90</v>
      </c>
      <c r="E173" s="1">
        <v>45</v>
      </c>
      <c r="F173" s="1">
        <v>7</v>
      </c>
    </row>
    <row r="174" spans="1:6">
      <c r="A174" s="3" t="s">
        <v>314</v>
      </c>
      <c r="B174" s="1" t="str">
        <f t="shared" si="2"/>
        <v>90x60x2.5</v>
      </c>
      <c r="C174" s="3" t="s">
        <v>314</v>
      </c>
      <c r="D174" s="1">
        <v>90</v>
      </c>
      <c r="E174" s="1">
        <v>60</v>
      </c>
      <c r="F174" s="1">
        <v>2.5</v>
      </c>
    </row>
    <row r="175" spans="1:6">
      <c r="A175" s="3" t="s">
        <v>315</v>
      </c>
      <c r="B175" s="1" t="str">
        <f t="shared" si="2"/>
        <v>90x60x3</v>
      </c>
      <c r="C175" s="3" t="s">
        <v>315</v>
      </c>
      <c r="D175" s="1">
        <v>90</v>
      </c>
      <c r="E175" s="1">
        <v>60</v>
      </c>
      <c r="F175" s="1">
        <v>3</v>
      </c>
    </row>
    <row r="176" spans="1:6">
      <c r="A176" s="3" t="s">
        <v>316</v>
      </c>
      <c r="B176" s="1" t="str">
        <f t="shared" si="2"/>
        <v>90x60x8</v>
      </c>
      <c r="C176" s="3" t="s">
        <v>316</v>
      </c>
      <c r="D176" s="1">
        <v>90</v>
      </c>
      <c r="E176" s="1">
        <v>60</v>
      </c>
      <c r="F176" s="1">
        <v>8</v>
      </c>
    </row>
    <row r="177" spans="1:6">
      <c r="A177" s="3" t="s">
        <v>317</v>
      </c>
      <c r="B177" s="1" t="str">
        <f t="shared" si="2"/>
        <v>91x19.5x3</v>
      </c>
      <c r="C177" s="3" t="s">
        <v>317</v>
      </c>
      <c r="D177" s="1">
        <v>91</v>
      </c>
      <c r="E177" s="1">
        <v>19.5</v>
      </c>
      <c r="F177" s="1">
        <v>3</v>
      </c>
    </row>
    <row r="178" spans="1:6">
      <c r="A178" s="3" t="s">
        <v>318</v>
      </c>
      <c r="B178" s="1" t="str">
        <f t="shared" si="2"/>
        <v>91x63.3x3</v>
      </c>
      <c r="C178" s="3" t="s">
        <v>318</v>
      </c>
      <c r="D178" s="1">
        <v>91</v>
      </c>
      <c r="E178" s="1">
        <v>63.3</v>
      </c>
      <c r="F178" s="1">
        <v>3</v>
      </c>
    </row>
    <row r="179" spans="1:6">
      <c r="A179" s="3" t="s">
        <v>319</v>
      </c>
      <c r="B179" s="1" t="str">
        <f t="shared" si="2"/>
        <v>91.4x45.7x2</v>
      </c>
      <c r="C179" s="3" t="s">
        <v>319</v>
      </c>
      <c r="D179" s="1">
        <v>91.4</v>
      </c>
      <c r="E179" s="1">
        <v>45.7</v>
      </c>
      <c r="F179" s="1">
        <v>2</v>
      </c>
    </row>
    <row r="180" spans="1:6">
      <c r="A180" s="3" t="s">
        <v>320</v>
      </c>
      <c r="B180" s="1" t="str">
        <f t="shared" si="2"/>
        <v>91.5x30.5x1.5</v>
      </c>
      <c r="C180" s="3" t="s">
        <v>320</v>
      </c>
      <c r="D180" s="1">
        <v>91.5</v>
      </c>
      <c r="E180" s="1">
        <v>30.5</v>
      </c>
      <c r="F180" s="1">
        <v>1.5</v>
      </c>
    </row>
    <row r="181" spans="1:6">
      <c r="A181" s="3" t="s">
        <v>321</v>
      </c>
      <c r="B181" s="1" t="str">
        <f t="shared" si="2"/>
        <v>95.3x28.5x4</v>
      </c>
      <c r="C181" s="3" t="s">
        <v>321</v>
      </c>
      <c r="D181" s="1">
        <v>95.3</v>
      </c>
      <c r="E181" s="1">
        <v>28.5</v>
      </c>
      <c r="F181" s="1">
        <v>4</v>
      </c>
    </row>
    <row r="182" spans="1:6">
      <c r="A182" s="3" t="s">
        <v>322</v>
      </c>
      <c r="B182" s="1" t="str">
        <f t="shared" si="2"/>
        <v>95.3x54.6x5</v>
      </c>
      <c r="C182" s="3" t="s">
        <v>322</v>
      </c>
      <c r="D182" s="1">
        <v>95.3</v>
      </c>
      <c r="E182" s="1">
        <v>54.6</v>
      </c>
      <c r="F182" s="1">
        <v>5</v>
      </c>
    </row>
    <row r="183" spans="1:6">
      <c r="A183" s="3" t="s">
        <v>323</v>
      </c>
      <c r="B183" s="1" t="str">
        <f t="shared" si="2"/>
        <v>95.3x57.2x5</v>
      </c>
      <c r="C183" s="3" t="s">
        <v>323</v>
      </c>
      <c r="D183" s="1">
        <v>95.3</v>
      </c>
      <c r="E183" s="1">
        <v>57.2</v>
      </c>
      <c r="F183" s="1">
        <v>5</v>
      </c>
    </row>
    <row r="184" spans="1:6">
      <c r="A184" s="3" t="s">
        <v>324</v>
      </c>
      <c r="B184" s="1" t="str">
        <f t="shared" si="2"/>
        <v>99.5x45.2x5</v>
      </c>
      <c r="C184" s="3" t="s">
        <v>324</v>
      </c>
      <c r="D184" s="1">
        <v>99.5</v>
      </c>
      <c r="E184" s="1">
        <v>45.2</v>
      </c>
      <c r="F184" s="1">
        <v>5</v>
      </c>
    </row>
    <row r="185" spans="1:6">
      <c r="A185" s="3" t="s">
        <v>325</v>
      </c>
      <c r="B185" s="1" t="str">
        <f t="shared" si="2"/>
        <v>100x10x8</v>
      </c>
      <c r="C185" s="3" t="s">
        <v>325</v>
      </c>
      <c r="D185" s="1">
        <v>100</v>
      </c>
      <c r="E185" s="1">
        <v>10</v>
      </c>
      <c r="F185" s="1">
        <v>8</v>
      </c>
    </row>
    <row r="186" spans="1:6">
      <c r="A186" s="3" t="s">
        <v>326</v>
      </c>
      <c r="B186" s="1" t="str">
        <f t="shared" si="2"/>
        <v>100x12x12</v>
      </c>
      <c r="C186" s="3" t="s">
        <v>326</v>
      </c>
      <c r="D186" s="1">
        <v>100</v>
      </c>
      <c r="E186" s="1">
        <v>12</v>
      </c>
      <c r="F186" s="1">
        <v>12</v>
      </c>
    </row>
    <row r="187" spans="1:6">
      <c r="A187" s="3" t="s">
        <v>327</v>
      </c>
      <c r="B187" s="1" t="str">
        <f t="shared" si="2"/>
        <v>100x15x5</v>
      </c>
      <c r="C187" s="3" t="s">
        <v>327</v>
      </c>
      <c r="D187" s="1">
        <v>100</v>
      </c>
      <c r="E187" s="1">
        <v>15</v>
      </c>
      <c r="F187" s="1">
        <v>5</v>
      </c>
    </row>
    <row r="188" spans="1:6">
      <c r="A188" s="3" t="s">
        <v>328</v>
      </c>
      <c r="B188" s="1" t="str">
        <f t="shared" si="2"/>
        <v>100x15x8</v>
      </c>
      <c r="C188" s="3" t="s">
        <v>328</v>
      </c>
      <c r="D188" s="1">
        <v>100</v>
      </c>
      <c r="E188" s="1">
        <v>15</v>
      </c>
      <c r="F188" s="1">
        <v>8</v>
      </c>
    </row>
    <row r="189" spans="1:6">
      <c r="A189" s="3" t="s">
        <v>329</v>
      </c>
      <c r="B189" s="1" t="str">
        <f t="shared" si="2"/>
        <v>100x16x16</v>
      </c>
      <c r="C189" s="3" t="s">
        <v>329</v>
      </c>
      <c r="D189" s="1">
        <v>100</v>
      </c>
      <c r="E189" s="1">
        <v>16</v>
      </c>
      <c r="F189" s="1">
        <v>16</v>
      </c>
    </row>
    <row r="190" spans="1:6">
      <c r="A190" s="3" t="s">
        <v>330</v>
      </c>
      <c r="B190" s="1" t="str">
        <f t="shared" si="2"/>
        <v>100x20x3</v>
      </c>
      <c r="C190" s="3" t="s">
        <v>330</v>
      </c>
      <c r="D190" s="1">
        <v>100</v>
      </c>
      <c r="E190" s="1">
        <v>20</v>
      </c>
      <c r="F190" s="1">
        <v>3</v>
      </c>
    </row>
    <row r="191" spans="1:6">
      <c r="A191" s="3" t="s">
        <v>331</v>
      </c>
      <c r="B191" s="1" t="str">
        <f t="shared" si="2"/>
        <v>100x20x5</v>
      </c>
      <c r="C191" s="3" t="s">
        <v>331</v>
      </c>
      <c r="D191" s="1">
        <v>100</v>
      </c>
      <c r="E191" s="1">
        <v>20</v>
      </c>
      <c r="F191" s="1">
        <v>5</v>
      </c>
    </row>
    <row r="192" spans="1:6">
      <c r="A192" s="3" t="s">
        <v>332</v>
      </c>
      <c r="B192" s="1" t="str">
        <f t="shared" si="2"/>
        <v>100x20x6</v>
      </c>
      <c r="C192" s="3" t="s">
        <v>332</v>
      </c>
      <c r="D192" s="1">
        <v>100</v>
      </c>
      <c r="E192" s="1">
        <v>20</v>
      </c>
      <c r="F192" s="1">
        <v>6</v>
      </c>
    </row>
    <row r="193" spans="1:6">
      <c r="A193" s="3" t="s">
        <v>333</v>
      </c>
      <c r="B193" s="1" t="str">
        <f t="shared" si="2"/>
        <v>100x20x7</v>
      </c>
      <c r="C193" s="3" t="s">
        <v>333</v>
      </c>
      <c r="D193" s="1">
        <v>100</v>
      </c>
      <c r="E193" s="1">
        <v>20</v>
      </c>
      <c r="F193" s="1">
        <v>7</v>
      </c>
    </row>
    <row r="194" spans="1:6">
      <c r="A194" s="3" t="s">
        <v>334</v>
      </c>
      <c r="B194" s="1" t="str">
        <f t="shared" si="2"/>
        <v>100x20x8</v>
      </c>
      <c r="C194" s="3" t="s">
        <v>334</v>
      </c>
      <c r="D194" s="1">
        <v>100</v>
      </c>
      <c r="E194" s="1">
        <v>20</v>
      </c>
      <c r="F194" s="1">
        <v>8</v>
      </c>
    </row>
    <row r="195" spans="1:6">
      <c r="A195" s="3" t="s">
        <v>335</v>
      </c>
      <c r="B195" s="1" t="str">
        <f t="shared" si="2"/>
        <v>100x20x10</v>
      </c>
      <c r="C195" s="3" t="s">
        <v>335</v>
      </c>
      <c r="D195" s="1">
        <v>100</v>
      </c>
      <c r="E195" s="1">
        <v>20</v>
      </c>
      <c r="F195" s="1">
        <v>10</v>
      </c>
    </row>
    <row r="196" spans="1:6">
      <c r="A196" s="3" t="s">
        <v>336</v>
      </c>
      <c r="B196" s="1" t="str">
        <f t="shared" ref="B196:B259" si="3">D196&amp;"x"&amp;E196&amp;"x"&amp;F196</f>
        <v>100x25x4</v>
      </c>
      <c r="C196" s="3" t="s">
        <v>336</v>
      </c>
      <c r="D196" s="1">
        <v>100</v>
      </c>
      <c r="E196" s="1">
        <v>25</v>
      </c>
      <c r="F196" s="1">
        <v>4</v>
      </c>
    </row>
    <row r="197" spans="1:6">
      <c r="A197" s="3" t="s">
        <v>337</v>
      </c>
      <c r="B197" s="1" t="str">
        <f t="shared" si="3"/>
        <v>100x25x5</v>
      </c>
      <c r="C197" s="3" t="s">
        <v>337</v>
      </c>
      <c r="D197" s="1">
        <v>100</v>
      </c>
      <c r="E197" s="1">
        <v>25</v>
      </c>
      <c r="F197" s="1">
        <v>5</v>
      </c>
    </row>
    <row r="198" spans="1:6">
      <c r="A198" s="3" t="s">
        <v>338</v>
      </c>
      <c r="B198" s="1" t="str">
        <f t="shared" si="3"/>
        <v>100x25x6</v>
      </c>
      <c r="C198" s="3" t="s">
        <v>338</v>
      </c>
      <c r="D198" s="1">
        <v>100</v>
      </c>
      <c r="E198" s="1">
        <v>25</v>
      </c>
      <c r="F198" s="1">
        <v>6</v>
      </c>
    </row>
    <row r="199" spans="1:6">
      <c r="A199" s="3" t="s">
        <v>339</v>
      </c>
      <c r="B199" s="1" t="str">
        <f t="shared" si="3"/>
        <v>100x25x7</v>
      </c>
      <c r="C199" s="3" t="s">
        <v>339</v>
      </c>
      <c r="D199" s="1">
        <v>100</v>
      </c>
      <c r="E199" s="1">
        <v>25</v>
      </c>
      <c r="F199" s="1">
        <v>7</v>
      </c>
    </row>
    <row r="200" spans="1:6">
      <c r="A200" s="3" t="s">
        <v>340</v>
      </c>
      <c r="B200" s="1" t="str">
        <f t="shared" si="3"/>
        <v>100x25x8</v>
      </c>
      <c r="C200" s="3" t="s">
        <v>340</v>
      </c>
      <c r="D200" s="1">
        <v>100</v>
      </c>
      <c r="E200" s="1">
        <v>25</v>
      </c>
      <c r="F200" s="1">
        <v>8</v>
      </c>
    </row>
    <row r="201" spans="1:6">
      <c r="A201" s="3" t="s">
        <v>341</v>
      </c>
      <c r="B201" s="1" t="str">
        <f t="shared" si="3"/>
        <v>100x25x10</v>
      </c>
      <c r="C201" s="3" t="s">
        <v>341</v>
      </c>
      <c r="D201" s="1">
        <v>100</v>
      </c>
      <c r="E201" s="1">
        <v>25</v>
      </c>
      <c r="F201" s="1">
        <v>10</v>
      </c>
    </row>
    <row r="202" spans="1:6">
      <c r="A202" s="3" t="s">
        <v>342</v>
      </c>
      <c r="B202" s="1" t="str">
        <f t="shared" si="3"/>
        <v>100x25x25</v>
      </c>
      <c r="C202" s="3" t="s">
        <v>342</v>
      </c>
      <c r="D202" s="1">
        <v>100</v>
      </c>
      <c r="E202" s="1">
        <v>25</v>
      </c>
      <c r="F202" s="1">
        <v>25</v>
      </c>
    </row>
    <row r="203" spans="1:6">
      <c r="A203" s="3" t="s">
        <v>343</v>
      </c>
      <c r="B203" s="1" t="str">
        <f t="shared" si="3"/>
        <v>100x26x5</v>
      </c>
      <c r="C203" s="3" t="s">
        <v>343</v>
      </c>
      <c r="D203" s="1">
        <v>100</v>
      </c>
      <c r="E203" s="1">
        <v>26</v>
      </c>
      <c r="F203" s="1">
        <v>5</v>
      </c>
    </row>
    <row r="204" spans="1:6">
      <c r="A204" s="3" t="s">
        <v>344</v>
      </c>
      <c r="B204" s="1" t="str">
        <f t="shared" si="3"/>
        <v>100x26.5x3</v>
      </c>
      <c r="C204" s="3" t="s">
        <v>344</v>
      </c>
      <c r="D204" s="1">
        <v>100</v>
      </c>
      <c r="E204" s="1">
        <v>26.5</v>
      </c>
      <c r="F204" s="1">
        <v>3</v>
      </c>
    </row>
    <row r="205" spans="1:6">
      <c r="A205" s="3" t="s">
        <v>345</v>
      </c>
      <c r="B205" s="1" t="str">
        <f t="shared" si="3"/>
        <v>100x30x3</v>
      </c>
      <c r="C205" s="3" t="s">
        <v>345</v>
      </c>
      <c r="D205" s="1">
        <v>100</v>
      </c>
      <c r="E205" s="1">
        <v>30</v>
      </c>
      <c r="F205" s="1">
        <v>3</v>
      </c>
    </row>
    <row r="206" spans="1:6">
      <c r="A206" s="3" t="s">
        <v>346</v>
      </c>
      <c r="B206" s="1" t="str">
        <f t="shared" si="3"/>
        <v>100x30x4</v>
      </c>
      <c r="C206" s="3" t="s">
        <v>346</v>
      </c>
      <c r="D206" s="1">
        <v>100</v>
      </c>
      <c r="E206" s="1">
        <v>30</v>
      </c>
      <c r="F206" s="1">
        <v>4</v>
      </c>
    </row>
    <row r="207" spans="1:6">
      <c r="A207" s="3" t="s">
        <v>347</v>
      </c>
      <c r="B207" s="1" t="str">
        <f t="shared" si="3"/>
        <v>100x30x5</v>
      </c>
      <c r="C207" s="3" t="s">
        <v>347</v>
      </c>
      <c r="D207" s="1">
        <v>100</v>
      </c>
      <c r="E207" s="1">
        <v>30</v>
      </c>
      <c r="F207" s="1">
        <v>5</v>
      </c>
    </row>
    <row r="208" spans="1:6">
      <c r="A208" s="3" t="s">
        <v>348</v>
      </c>
      <c r="B208" s="1" t="str">
        <f t="shared" si="3"/>
        <v>100x30x6</v>
      </c>
      <c r="C208" s="3" t="s">
        <v>348</v>
      </c>
      <c r="D208" s="1">
        <v>100</v>
      </c>
      <c r="E208" s="1">
        <v>30</v>
      </c>
      <c r="F208" s="1">
        <v>6</v>
      </c>
    </row>
    <row r="209" spans="1:6">
      <c r="A209" s="3" t="s">
        <v>349</v>
      </c>
      <c r="B209" s="1" t="str">
        <f t="shared" si="3"/>
        <v>100x30x7</v>
      </c>
      <c r="C209" s="3" t="s">
        <v>349</v>
      </c>
      <c r="D209" s="1">
        <v>100</v>
      </c>
      <c r="E209" s="1">
        <v>30</v>
      </c>
      <c r="F209" s="1">
        <v>7</v>
      </c>
    </row>
    <row r="210" spans="1:6">
      <c r="A210" s="3" t="s">
        <v>350</v>
      </c>
      <c r="B210" s="1" t="str">
        <f t="shared" si="3"/>
        <v>100x30x8</v>
      </c>
      <c r="C210" s="3" t="s">
        <v>350</v>
      </c>
      <c r="D210" s="1">
        <v>100</v>
      </c>
      <c r="E210" s="1">
        <v>30</v>
      </c>
      <c r="F210" s="1">
        <v>8</v>
      </c>
    </row>
    <row r="211" spans="1:6">
      <c r="A211" s="3" t="s">
        <v>351</v>
      </c>
      <c r="B211" s="1" t="str">
        <f t="shared" si="3"/>
        <v>100x30x10</v>
      </c>
      <c r="C211" s="3" t="s">
        <v>351</v>
      </c>
      <c r="D211" s="1">
        <v>100</v>
      </c>
      <c r="E211" s="1">
        <v>30</v>
      </c>
      <c r="F211" s="1">
        <v>10</v>
      </c>
    </row>
    <row r="212" spans="1:6">
      <c r="A212" s="3" t="s">
        <v>352</v>
      </c>
      <c r="B212" s="1" t="str">
        <f t="shared" si="3"/>
        <v>100x30x16</v>
      </c>
      <c r="C212" s="3" t="s">
        <v>352</v>
      </c>
      <c r="D212" s="1">
        <v>100</v>
      </c>
      <c r="E212" s="1">
        <v>30</v>
      </c>
      <c r="F212" s="1">
        <v>16</v>
      </c>
    </row>
    <row r="213" spans="1:6">
      <c r="A213" s="3" t="s">
        <v>353</v>
      </c>
      <c r="B213" s="1" t="str">
        <f t="shared" si="3"/>
        <v>100x33x15</v>
      </c>
      <c r="C213" s="3" t="s">
        <v>353</v>
      </c>
      <c r="D213" s="1">
        <v>100</v>
      </c>
      <c r="E213" s="1">
        <v>33</v>
      </c>
      <c r="F213" s="1">
        <v>15</v>
      </c>
    </row>
    <row r="214" spans="1:6">
      <c r="A214" s="3" t="s">
        <v>354</v>
      </c>
      <c r="B214" s="1" t="str">
        <f t="shared" si="3"/>
        <v>100x35x3</v>
      </c>
      <c r="C214" s="3" t="s">
        <v>354</v>
      </c>
      <c r="D214" s="1">
        <v>100</v>
      </c>
      <c r="E214" s="1">
        <v>35</v>
      </c>
      <c r="F214" s="1">
        <v>3</v>
      </c>
    </row>
    <row r="215" spans="1:6">
      <c r="A215" s="3" t="s">
        <v>355</v>
      </c>
      <c r="B215" s="1" t="str">
        <f t="shared" si="3"/>
        <v>100x35x4</v>
      </c>
      <c r="C215" s="3" t="s">
        <v>355</v>
      </c>
      <c r="D215" s="1">
        <v>100</v>
      </c>
      <c r="E215" s="1">
        <v>35</v>
      </c>
      <c r="F215" s="1">
        <v>4</v>
      </c>
    </row>
    <row r="216" spans="1:6">
      <c r="A216" s="3" t="s">
        <v>356</v>
      </c>
      <c r="B216" s="1" t="str">
        <f t="shared" si="3"/>
        <v>100x35x5</v>
      </c>
      <c r="C216" s="3" t="s">
        <v>356</v>
      </c>
      <c r="D216" s="1">
        <v>100</v>
      </c>
      <c r="E216" s="1">
        <v>35</v>
      </c>
      <c r="F216" s="1">
        <v>5</v>
      </c>
    </row>
    <row r="217" spans="1:6">
      <c r="A217" s="3" t="s">
        <v>357</v>
      </c>
      <c r="B217" s="1" t="str">
        <f t="shared" si="3"/>
        <v>100x35x15</v>
      </c>
      <c r="C217" s="3" t="s">
        <v>357</v>
      </c>
      <c r="D217" s="1">
        <v>100</v>
      </c>
      <c r="E217" s="1">
        <v>35</v>
      </c>
      <c r="F217" s="1">
        <v>15</v>
      </c>
    </row>
    <row r="218" spans="1:6">
      <c r="A218" s="3" t="s">
        <v>358</v>
      </c>
      <c r="B218" s="1" t="str">
        <f t="shared" si="3"/>
        <v>100x40x3</v>
      </c>
      <c r="C218" s="3" t="s">
        <v>358</v>
      </c>
      <c r="D218" s="1">
        <v>100</v>
      </c>
      <c r="E218" s="1">
        <v>40</v>
      </c>
      <c r="F218" s="1">
        <v>3</v>
      </c>
    </row>
    <row r="219" spans="1:6">
      <c r="A219" s="3" t="s">
        <v>359</v>
      </c>
      <c r="B219" s="1" t="str">
        <f t="shared" si="3"/>
        <v>100x40x4</v>
      </c>
      <c r="C219" s="3" t="s">
        <v>359</v>
      </c>
      <c r="D219" s="1">
        <v>100</v>
      </c>
      <c r="E219" s="1">
        <v>40</v>
      </c>
      <c r="F219" s="1">
        <v>4</v>
      </c>
    </row>
    <row r="220" spans="1:6">
      <c r="A220" s="3" t="s">
        <v>360</v>
      </c>
      <c r="B220" s="1" t="str">
        <f t="shared" si="3"/>
        <v>100x40x10</v>
      </c>
      <c r="C220" s="3" t="s">
        <v>360</v>
      </c>
      <c r="D220" s="1">
        <v>100</v>
      </c>
      <c r="E220" s="1">
        <v>40</v>
      </c>
      <c r="F220" s="1">
        <v>10</v>
      </c>
    </row>
    <row r="221" spans="1:6">
      <c r="A221" s="3" t="s">
        <v>361</v>
      </c>
      <c r="B221" s="1" t="str">
        <f t="shared" si="3"/>
        <v>100x50x3</v>
      </c>
      <c r="C221" s="3" t="s">
        <v>361</v>
      </c>
      <c r="D221" s="1">
        <v>100</v>
      </c>
      <c r="E221" s="1">
        <v>50</v>
      </c>
      <c r="F221" s="1">
        <v>3</v>
      </c>
    </row>
    <row r="222" spans="1:6">
      <c r="A222" s="3" t="s">
        <v>362</v>
      </c>
      <c r="B222" s="1" t="str">
        <f t="shared" si="3"/>
        <v>100x50x8</v>
      </c>
      <c r="C222" s="3" t="s">
        <v>362</v>
      </c>
      <c r="D222" s="1">
        <v>100</v>
      </c>
      <c r="E222" s="1">
        <v>50</v>
      </c>
      <c r="F222" s="1">
        <v>8</v>
      </c>
    </row>
    <row r="223" spans="1:6">
      <c r="A223" s="3" t="s">
        <v>363</v>
      </c>
      <c r="B223" s="1" t="str">
        <f t="shared" si="3"/>
        <v>100x100x3</v>
      </c>
      <c r="C223" s="3" t="s">
        <v>363</v>
      </c>
      <c r="D223" s="1">
        <v>100</v>
      </c>
      <c r="E223" s="1">
        <v>100</v>
      </c>
      <c r="F223" s="1">
        <v>3</v>
      </c>
    </row>
    <row r="224" spans="1:6">
      <c r="A224" s="3" t="s">
        <v>364</v>
      </c>
      <c r="B224" s="1" t="str">
        <f t="shared" si="3"/>
        <v>100.1x28.5x4</v>
      </c>
      <c r="C224" s="3" t="s">
        <v>364</v>
      </c>
      <c r="D224" s="1">
        <v>100.1</v>
      </c>
      <c r="E224" s="1">
        <v>28.5</v>
      </c>
      <c r="F224" s="1">
        <v>4</v>
      </c>
    </row>
    <row r="225" spans="1:6">
      <c r="A225" s="3" t="s">
        <v>365</v>
      </c>
      <c r="B225" s="1" t="str">
        <f t="shared" si="3"/>
        <v>100.6x28.5x4</v>
      </c>
      <c r="C225" s="3" t="s">
        <v>365</v>
      </c>
      <c r="D225" s="1">
        <v>100.6</v>
      </c>
      <c r="E225" s="1">
        <v>28.5</v>
      </c>
      <c r="F225" s="1">
        <v>4</v>
      </c>
    </row>
    <row r="226" spans="1:6">
      <c r="A226" s="3" t="s">
        <v>366</v>
      </c>
      <c r="B226" s="1" t="str">
        <f t="shared" si="3"/>
        <v>104.1x68.6x4</v>
      </c>
      <c r="C226" s="3" t="s">
        <v>366</v>
      </c>
      <c r="D226" s="1">
        <v>104.1</v>
      </c>
      <c r="E226" s="1">
        <v>68.599999999999994</v>
      </c>
      <c r="F226" s="1">
        <v>4</v>
      </c>
    </row>
    <row r="227" spans="1:6">
      <c r="A227" s="3" t="s">
        <v>367</v>
      </c>
      <c r="B227" s="1" t="str">
        <f t="shared" si="3"/>
        <v>106.6x43x5/3</v>
      </c>
      <c r="C227" s="3" t="s">
        <v>367</v>
      </c>
      <c r="D227" s="1">
        <v>106.6</v>
      </c>
      <c r="E227" s="1">
        <v>43</v>
      </c>
      <c r="F227" s="5" t="s">
        <v>392</v>
      </c>
    </row>
    <row r="228" spans="1:6">
      <c r="A228" s="3" t="s">
        <v>368</v>
      </c>
      <c r="B228" s="1" t="str">
        <f t="shared" si="3"/>
        <v>106.7x45.7x2</v>
      </c>
      <c r="C228" s="3" t="s">
        <v>368</v>
      </c>
      <c r="D228" s="1">
        <v>106.7</v>
      </c>
      <c r="E228" s="1">
        <v>45.7</v>
      </c>
      <c r="F228" s="1">
        <v>2</v>
      </c>
    </row>
    <row r="229" spans="1:6">
      <c r="A229" s="3" t="s">
        <v>369</v>
      </c>
      <c r="B229" s="1" t="str">
        <f t="shared" si="3"/>
        <v>106.7x61x5</v>
      </c>
      <c r="C229" s="3" t="s">
        <v>369</v>
      </c>
      <c r="D229" s="1">
        <v>106.7</v>
      </c>
      <c r="E229" s="1">
        <v>61</v>
      </c>
      <c r="F229" s="1">
        <v>5</v>
      </c>
    </row>
    <row r="230" spans="1:6">
      <c r="A230" s="3" t="s">
        <v>370</v>
      </c>
      <c r="B230" s="1" t="str">
        <f t="shared" si="3"/>
        <v>106.7x68.6x4</v>
      </c>
      <c r="C230" s="3" t="s">
        <v>370</v>
      </c>
      <c r="D230" s="1">
        <v>106.7</v>
      </c>
      <c r="E230" s="1">
        <v>68.599999999999994</v>
      </c>
      <c r="F230" s="1">
        <v>4</v>
      </c>
    </row>
    <row r="231" spans="1:6">
      <c r="A231" s="3" t="s">
        <v>371</v>
      </c>
      <c r="B231" s="1" t="str">
        <f t="shared" si="3"/>
        <v>109.28x28x5/3</v>
      </c>
      <c r="C231" s="3" t="s">
        <v>371</v>
      </c>
      <c r="D231" s="1">
        <v>109.28</v>
      </c>
      <c r="E231" s="1">
        <v>28</v>
      </c>
      <c r="F231" s="5" t="s">
        <v>392</v>
      </c>
    </row>
    <row r="232" spans="1:6">
      <c r="A232" s="3" t="s">
        <v>372</v>
      </c>
      <c r="B232" s="1" t="str">
        <f t="shared" si="3"/>
        <v>113.7x15.2x2</v>
      </c>
      <c r="C232" s="3" t="s">
        <v>372</v>
      </c>
      <c r="D232" s="1">
        <v>113.7</v>
      </c>
      <c r="E232" s="1">
        <v>15.2</v>
      </c>
      <c r="F232" s="1">
        <v>2</v>
      </c>
    </row>
    <row r="233" spans="1:6">
      <c r="A233" s="3" t="s">
        <v>373</v>
      </c>
      <c r="B233" s="1" t="str">
        <f t="shared" si="3"/>
        <v>113.7x29.8x2</v>
      </c>
      <c r="C233" s="3" t="s">
        <v>373</v>
      </c>
      <c r="D233" s="1">
        <v>113.7</v>
      </c>
      <c r="E233" s="1">
        <v>29.8</v>
      </c>
      <c r="F233" s="1">
        <v>2</v>
      </c>
    </row>
    <row r="234" spans="1:6">
      <c r="A234" s="3" t="s">
        <v>374</v>
      </c>
      <c r="B234" s="1" t="str">
        <f t="shared" si="3"/>
        <v>116.2x15.2x2</v>
      </c>
      <c r="C234" s="3" t="s">
        <v>374</v>
      </c>
      <c r="D234" s="1">
        <v>116.2</v>
      </c>
      <c r="E234" s="1">
        <v>15.2</v>
      </c>
      <c r="F234" s="1">
        <v>2</v>
      </c>
    </row>
    <row r="235" spans="1:6">
      <c r="A235" s="3" t="s">
        <v>375</v>
      </c>
      <c r="B235" s="1" t="str">
        <f t="shared" si="3"/>
        <v>116.2x29.8x2</v>
      </c>
      <c r="C235" s="3" t="s">
        <v>375</v>
      </c>
      <c r="D235" s="1">
        <v>116.2</v>
      </c>
      <c r="E235" s="1">
        <v>29.8</v>
      </c>
      <c r="F235" s="1">
        <v>2</v>
      </c>
    </row>
    <row r="236" spans="1:6">
      <c r="A236" s="3" t="s">
        <v>376</v>
      </c>
      <c r="B236" s="1" t="str">
        <f t="shared" si="3"/>
        <v>120x12x12</v>
      </c>
      <c r="C236" s="3" t="s">
        <v>376</v>
      </c>
      <c r="D236" s="1">
        <v>120</v>
      </c>
      <c r="E236" s="1">
        <v>12</v>
      </c>
      <c r="F236" s="1">
        <v>12</v>
      </c>
    </row>
    <row r="237" spans="1:6">
      <c r="A237" s="3" t="s">
        <v>377</v>
      </c>
      <c r="B237" s="1" t="str">
        <f t="shared" si="3"/>
        <v>120x14.5x2</v>
      </c>
      <c r="C237" s="3" t="s">
        <v>377</v>
      </c>
      <c r="D237" s="1">
        <v>120</v>
      </c>
      <c r="E237" s="1">
        <v>14.5</v>
      </c>
      <c r="F237" s="1">
        <v>2</v>
      </c>
    </row>
    <row r="238" spans="1:6">
      <c r="A238" s="3" t="s">
        <v>378</v>
      </c>
      <c r="B238" s="1" t="str">
        <f t="shared" si="3"/>
        <v>120x14.5x3</v>
      </c>
      <c r="C238" s="3" t="s">
        <v>378</v>
      </c>
      <c r="D238" s="1">
        <v>120</v>
      </c>
      <c r="E238" s="1">
        <v>14.5</v>
      </c>
      <c r="F238" s="1">
        <v>3</v>
      </c>
    </row>
    <row r="239" spans="1:6">
      <c r="A239" s="3" t="s">
        <v>379</v>
      </c>
      <c r="B239" s="1" t="str">
        <f t="shared" si="3"/>
        <v>120x25x10</v>
      </c>
      <c r="C239" s="3" t="s">
        <v>379</v>
      </c>
      <c r="D239" s="1">
        <v>120</v>
      </c>
      <c r="E239" s="1">
        <v>25</v>
      </c>
      <c r="F239" s="1">
        <v>10</v>
      </c>
    </row>
    <row r="240" spans="1:6">
      <c r="A240" s="3" t="s">
        <v>380</v>
      </c>
      <c r="B240" s="1" t="str">
        <f t="shared" si="3"/>
        <v>120x30x3</v>
      </c>
      <c r="C240" s="3" t="s">
        <v>380</v>
      </c>
      <c r="D240" s="1">
        <v>120</v>
      </c>
      <c r="E240" s="1">
        <v>30</v>
      </c>
      <c r="F240" s="1">
        <v>3</v>
      </c>
    </row>
    <row r="241" spans="1:6">
      <c r="A241" s="3" t="s">
        <v>381</v>
      </c>
      <c r="B241" s="1" t="str">
        <f t="shared" si="3"/>
        <v>120x35x3</v>
      </c>
      <c r="C241" s="3" t="s">
        <v>381</v>
      </c>
      <c r="D241" s="1">
        <v>120</v>
      </c>
      <c r="E241" s="1">
        <v>35</v>
      </c>
      <c r="F241" s="1">
        <v>3</v>
      </c>
    </row>
    <row r="242" spans="1:6">
      <c r="A242" s="3" t="s">
        <v>382</v>
      </c>
      <c r="B242" s="1" t="str">
        <f t="shared" si="3"/>
        <v>120x35x15</v>
      </c>
      <c r="C242" s="3" t="s">
        <v>382</v>
      </c>
      <c r="D242" s="1">
        <v>120</v>
      </c>
      <c r="E242" s="1">
        <v>35</v>
      </c>
      <c r="F242" s="1">
        <v>15</v>
      </c>
    </row>
    <row r="243" spans="1:6">
      <c r="A243" s="3" t="s">
        <v>383</v>
      </c>
      <c r="B243" s="1" t="str">
        <f t="shared" si="3"/>
        <v>121.4x20x10.2</v>
      </c>
      <c r="C243" s="3" t="s">
        <v>383</v>
      </c>
      <c r="D243" s="1">
        <v>121.4</v>
      </c>
      <c r="E243" s="1">
        <v>20</v>
      </c>
      <c r="F243" s="1">
        <v>10.199999999999999</v>
      </c>
    </row>
    <row r="244" spans="1:6">
      <c r="A244" s="3" t="s">
        <v>384</v>
      </c>
      <c r="B244" s="1" t="str">
        <f t="shared" si="3"/>
        <v>121.4x32.5x3</v>
      </c>
      <c r="C244" s="3" t="s">
        <v>384</v>
      </c>
      <c r="D244" s="1">
        <v>121.4</v>
      </c>
      <c r="E244" s="1">
        <v>32.5</v>
      </c>
      <c r="F244" s="1">
        <v>3</v>
      </c>
    </row>
    <row r="245" spans="1:6">
      <c r="A245" s="3" t="s">
        <v>385</v>
      </c>
      <c r="B245" s="1" t="str">
        <f t="shared" si="3"/>
        <v>121.4x41.8x3</v>
      </c>
      <c r="C245" s="3" t="s">
        <v>385</v>
      </c>
      <c r="D245" s="1">
        <v>121.4</v>
      </c>
      <c r="E245" s="1">
        <v>41.8</v>
      </c>
      <c r="F245" s="1">
        <v>3</v>
      </c>
    </row>
    <row r="246" spans="1:6">
      <c r="A246" s="3" t="s">
        <v>386</v>
      </c>
      <c r="B246" s="1" t="str">
        <f t="shared" si="3"/>
        <v>121.4x63.3x3</v>
      </c>
      <c r="C246" s="3" t="s">
        <v>386</v>
      </c>
      <c r="D246" s="1">
        <v>121.4</v>
      </c>
      <c r="E246" s="1">
        <v>63.3</v>
      </c>
      <c r="F246" s="1">
        <v>3</v>
      </c>
    </row>
    <row r="247" spans="1:6">
      <c r="A247" s="3" t="s">
        <v>387</v>
      </c>
      <c r="B247" s="1" t="str">
        <f t="shared" si="3"/>
        <v>121.4x67.5x3</v>
      </c>
      <c r="C247" s="3" t="s">
        <v>387</v>
      </c>
      <c r="D247" s="1">
        <v>121.4</v>
      </c>
      <c r="E247" s="1">
        <v>67.5</v>
      </c>
      <c r="F247" s="1">
        <v>3</v>
      </c>
    </row>
    <row r="248" spans="1:6">
      <c r="A248" s="3" t="s">
        <v>388</v>
      </c>
      <c r="B248" s="1" t="str">
        <f t="shared" si="3"/>
        <v>121.9x68.6x8</v>
      </c>
      <c r="C248" s="3" t="s">
        <v>388</v>
      </c>
      <c r="D248" s="1">
        <v>121.9</v>
      </c>
      <c r="E248" s="1">
        <v>68.599999999999994</v>
      </c>
      <c r="F248" s="1">
        <v>8</v>
      </c>
    </row>
    <row r="249" spans="1:6">
      <c r="A249" s="3" t="s">
        <v>389</v>
      </c>
      <c r="B249" s="1" t="str">
        <f t="shared" si="3"/>
        <v>125x25x8</v>
      </c>
      <c r="C249" s="3" t="s">
        <v>389</v>
      </c>
      <c r="D249" s="1">
        <v>125</v>
      </c>
      <c r="E249" s="1">
        <v>25</v>
      </c>
      <c r="F249" s="1">
        <v>8</v>
      </c>
    </row>
    <row r="250" spans="1:6">
      <c r="A250" s="3" t="s">
        <v>390</v>
      </c>
      <c r="B250" s="1" t="str">
        <f t="shared" si="3"/>
        <v>125x25x10</v>
      </c>
      <c r="C250" s="3" t="s">
        <v>390</v>
      </c>
      <c r="D250" s="1">
        <v>125</v>
      </c>
      <c r="E250" s="1">
        <v>25</v>
      </c>
      <c r="F250" s="1">
        <v>10</v>
      </c>
    </row>
    <row r="251" spans="1:6">
      <c r="A251" s="3" t="s">
        <v>391</v>
      </c>
      <c r="B251" s="1" t="str">
        <f t="shared" si="3"/>
        <v>125x30x16</v>
      </c>
      <c r="C251" s="3" t="s">
        <v>391</v>
      </c>
      <c r="D251" s="1">
        <v>125</v>
      </c>
      <c r="E251" s="1">
        <v>30</v>
      </c>
      <c r="F251" s="1">
        <v>16</v>
      </c>
    </row>
    <row r="252" spans="1:6">
      <c r="A252" s="3" t="s">
        <v>393</v>
      </c>
      <c r="B252" s="1" t="str">
        <f t="shared" si="3"/>
        <v>125x35x15</v>
      </c>
      <c r="C252" s="3" t="s">
        <v>393</v>
      </c>
      <c r="D252" s="1">
        <v>125</v>
      </c>
      <c r="E252" s="1">
        <v>35</v>
      </c>
      <c r="F252" s="1">
        <v>15</v>
      </c>
    </row>
    <row r="253" spans="1:6">
      <c r="A253" s="3" t="s">
        <v>394</v>
      </c>
      <c r="B253" s="1" t="str">
        <f t="shared" si="3"/>
        <v>128.9x29.8x2</v>
      </c>
      <c r="C253" s="3" t="s">
        <v>394</v>
      </c>
      <c r="D253" s="1">
        <v>128.9</v>
      </c>
      <c r="E253" s="1">
        <v>29.8</v>
      </c>
      <c r="F253" s="1">
        <v>2</v>
      </c>
    </row>
    <row r="254" spans="1:6">
      <c r="A254" s="3" t="s">
        <v>395</v>
      </c>
      <c r="B254" s="1" t="str">
        <f t="shared" si="3"/>
        <v>131.4x29.8x2</v>
      </c>
      <c r="C254" s="3" t="s">
        <v>395</v>
      </c>
      <c r="D254" s="1">
        <v>131.4</v>
      </c>
      <c r="E254" s="1">
        <v>29.8</v>
      </c>
      <c r="F254" s="1">
        <v>2</v>
      </c>
    </row>
    <row r="255" spans="1:6">
      <c r="A255" s="3" t="s">
        <v>396</v>
      </c>
      <c r="B255" s="1" t="str">
        <f t="shared" si="3"/>
        <v>132.1x35.6x8</v>
      </c>
      <c r="C255" s="3" t="s">
        <v>396</v>
      </c>
      <c r="D255" s="1">
        <v>132.1</v>
      </c>
      <c r="E255" s="1">
        <v>35.6</v>
      </c>
      <c r="F255" s="1">
        <v>8</v>
      </c>
    </row>
    <row r="256" spans="1:6">
      <c r="A256" s="3" t="s">
        <v>397</v>
      </c>
      <c r="B256" s="1" t="str">
        <f t="shared" si="3"/>
        <v>142x13.5x2</v>
      </c>
      <c r="C256" s="3" t="s">
        <v>397</v>
      </c>
      <c r="D256" s="1">
        <v>142</v>
      </c>
      <c r="E256" s="1">
        <v>13.5</v>
      </c>
      <c r="F256" s="1">
        <v>2</v>
      </c>
    </row>
    <row r="257" spans="1:6">
      <c r="A257" s="3" t="s">
        <v>398</v>
      </c>
      <c r="B257" s="1" t="str">
        <f t="shared" si="3"/>
        <v>142x18.5x2</v>
      </c>
      <c r="C257" s="3" t="s">
        <v>398</v>
      </c>
      <c r="D257" s="1">
        <v>142</v>
      </c>
      <c r="E257" s="1">
        <v>18.5</v>
      </c>
      <c r="F257" s="1">
        <v>2</v>
      </c>
    </row>
    <row r="258" spans="1:6">
      <c r="A258" s="3" t="s">
        <v>399</v>
      </c>
      <c r="B258" s="1" t="str">
        <f t="shared" si="3"/>
        <v>142x34x3</v>
      </c>
      <c r="C258" s="3" t="s">
        <v>399</v>
      </c>
      <c r="D258" s="1">
        <v>142</v>
      </c>
      <c r="E258" s="1">
        <v>34</v>
      </c>
      <c r="F258" s="1">
        <v>3</v>
      </c>
    </row>
    <row r="259" spans="1:6">
      <c r="A259" s="3" t="s">
        <v>400</v>
      </c>
      <c r="B259" s="1" t="str">
        <f t="shared" si="3"/>
        <v>142x70x3</v>
      </c>
      <c r="C259" s="3" t="s">
        <v>400</v>
      </c>
      <c r="D259" s="1">
        <v>142</v>
      </c>
      <c r="E259" s="1">
        <v>70</v>
      </c>
      <c r="F259" s="1">
        <v>3</v>
      </c>
    </row>
    <row r="260" spans="1:6">
      <c r="A260" s="3" t="s">
        <v>401</v>
      </c>
      <c r="B260" s="1" t="str">
        <f t="shared" ref="B260:B322" si="4">D260&amp;"x"&amp;E260&amp;"x"&amp;F260</f>
        <v>145x68x3</v>
      </c>
      <c r="C260" s="3" t="s">
        <v>401</v>
      </c>
      <c r="D260" s="1">
        <v>145</v>
      </c>
      <c r="E260" s="1">
        <v>68</v>
      </c>
      <c r="F260" s="1">
        <v>3</v>
      </c>
    </row>
    <row r="261" spans="1:6">
      <c r="A261" s="3" t="s">
        <v>402</v>
      </c>
      <c r="B261" s="1" t="str">
        <f t="shared" si="4"/>
        <v>148x59x3</v>
      </c>
      <c r="C261" s="3" t="s">
        <v>402</v>
      </c>
      <c r="D261" s="1">
        <v>148</v>
      </c>
      <c r="E261" s="1">
        <v>59</v>
      </c>
      <c r="F261" s="1">
        <v>3</v>
      </c>
    </row>
    <row r="262" spans="1:6">
      <c r="A262" s="3" t="s">
        <v>403</v>
      </c>
      <c r="B262" s="1" t="str">
        <f t="shared" si="4"/>
        <v>148.9x15.2x2</v>
      </c>
      <c r="C262" s="3" t="s">
        <v>403</v>
      </c>
      <c r="D262" s="1">
        <v>148.9</v>
      </c>
      <c r="E262" s="1">
        <v>15.2</v>
      </c>
      <c r="F262" s="1">
        <v>2</v>
      </c>
    </row>
    <row r="263" spans="1:6">
      <c r="A263" s="3" t="s">
        <v>404</v>
      </c>
      <c r="B263" s="1" t="str">
        <f t="shared" si="4"/>
        <v>149.5x61x8</v>
      </c>
      <c r="C263" s="3" t="s">
        <v>404</v>
      </c>
      <c r="D263" s="1">
        <v>149.5</v>
      </c>
      <c r="E263" s="1">
        <v>61</v>
      </c>
      <c r="F263" s="1">
        <v>8</v>
      </c>
    </row>
    <row r="264" spans="1:6">
      <c r="A264" s="3" t="s">
        <v>405</v>
      </c>
      <c r="B264" s="1" t="str">
        <f t="shared" si="4"/>
        <v>150x9.5x7</v>
      </c>
      <c r="C264" s="3" t="s">
        <v>405</v>
      </c>
      <c r="D264" s="1">
        <v>150</v>
      </c>
      <c r="E264" s="1">
        <v>9.5</v>
      </c>
      <c r="F264" s="1">
        <v>7</v>
      </c>
    </row>
    <row r="265" spans="1:6">
      <c r="A265" s="3" t="s">
        <v>406</v>
      </c>
      <c r="B265" s="1" t="str">
        <f t="shared" si="4"/>
        <v>150x12x12</v>
      </c>
      <c r="C265" s="3" t="s">
        <v>406</v>
      </c>
      <c r="D265" s="1">
        <v>150</v>
      </c>
      <c r="E265" s="1">
        <v>12</v>
      </c>
      <c r="F265" s="1">
        <v>12</v>
      </c>
    </row>
    <row r="266" spans="1:6">
      <c r="A266" s="3" t="s">
        <v>407</v>
      </c>
      <c r="B266" s="1" t="str">
        <f t="shared" si="4"/>
        <v>150x14.5x3</v>
      </c>
      <c r="C266" s="3" t="s">
        <v>407</v>
      </c>
      <c r="D266" s="1">
        <v>150</v>
      </c>
      <c r="E266" s="1">
        <v>14.5</v>
      </c>
      <c r="F266" s="1">
        <v>3</v>
      </c>
    </row>
    <row r="267" spans="1:6">
      <c r="A267" s="3" t="s">
        <v>408</v>
      </c>
      <c r="B267" s="1" t="str">
        <f t="shared" si="4"/>
        <v>150x25x8</v>
      </c>
      <c r="C267" s="3" t="s">
        <v>408</v>
      </c>
      <c r="D267" s="1">
        <v>150</v>
      </c>
      <c r="E267" s="1">
        <v>25</v>
      </c>
      <c r="F267" s="1">
        <v>8</v>
      </c>
    </row>
    <row r="268" spans="1:6">
      <c r="A268" s="3" t="s">
        <v>409</v>
      </c>
      <c r="B268" s="1" t="str">
        <f t="shared" si="4"/>
        <v>150x25x10</v>
      </c>
      <c r="C268" s="3" t="s">
        <v>409</v>
      </c>
      <c r="D268" s="1">
        <v>150</v>
      </c>
      <c r="E268" s="1">
        <v>25</v>
      </c>
      <c r="F268" s="1">
        <v>10</v>
      </c>
    </row>
    <row r="269" spans="1:6">
      <c r="A269" s="3" t="s">
        <v>410</v>
      </c>
      <c r="B269" s="1" t="str">
        <f t="shared" si="4"/>
        <v>150x30x7</v>
      </c>
      <c r="C269" s="3" t="s">
        <v>410</v>
      </c>
      <c r="D269" s="1">
        <v>150</v>
      </c>
      <c r="E269" s="1">
        <v>30</v>
      </c>
      <c r="F269" s="1">
        <v>7</v>
      </c>
    </row>
    <row r="270" spans="1:6">
      <c r="A270" s="3" t="s">
        <v>411</v>
      </c>
      <c r="B270" s="1" t="str">
        <f t="shared" si="4"/>
        <v>150x30x16</v>
      </c>
      <c r="C270" s="3" t="s">
        <v>411</v>
      </c>
      <c r="D270" s="1">
        <v>150</v>
      </c>
      <c r="E270" s="1">
        <v>30</v>
      </c>
      <c r="F270" s="1">
        <v>16</v>
      </c>
    </row>
    <row r="271" spans="1:6">
      <c r="A271" s="3" t="s">
        <v>412</v>
      </c>
      <c r="B271" s="1" t="str">
        <f t="shared" si="4"/>
        <v>150x35x3</v>
      </c>
      <c r="C271" s="3" t="s">
        <v>412</v>
      </c>
      <c r="D271" s="1">
        <v>150</v>
      </c>
      <c r="E271" s="1">
        <v>35</v>
      </c>
      <c r="F271" s="1">
        <v>3</v>
      </c>
    </row>
    <row r="272" spans="1:6">
      <c r="A272" s="3" t="s">
        <v>413</v>
      </c>
      <c r="B272" s="1" t="str">
        <f t="shared" si="4"/>
        <v>150x35x8</v>
      </c>
      <c r="C272" s="3" t="s">
        <v>413</v>
      </c>
      <c r="D272" s="1">
        <v>150</v>
      </c>
      <c r="E272" s="1">
        <v>35</v>
      </c>
      <c r="F272" s="1">
        <v>8</v>
      </c>
    </row>
    <row r="273" spans="1:6">
      <c r="A273" s="3" t="s">
        <v>414</v>
      </c>
      <c r="B273" s="1" t="str">
        <f t="shared" si="4"/>
        <v>150x35x15</v>
      </c>
      <c r="C273" s="3" t="s">
        <v>414</v>
      </c>
      <c r="D273" s="1">
        <v>150</v>
      </c>
      <c r="E273" s="1">
        <v>35</v>
      </c>
      <c r="F273" s="1">
        <v>15</v>
      </c>
    </row>
    <row r="274" spans="1:6">
      <c r="A274" s="3" t="s">
        <v>415</v>
      </c>
      <c r="B274" s="1" t="str">
        <f t="shared" si="4"/>
        <v>150x50x8</v>
      </c>
      <c r="C274" s="3" t="s">
        <v>415</v>
      </c>
      <c r="D274" s="1">
        <v>150</v>
      </c>
      <c r="E274" s="1">
        <v>50</v>
      </c>
      <c r="F274" s="1">
        <v>8</v>
      </c>
    </row>
    <row r="275" spans="1:6">
      <c r="A275" s="3" t="s">
        <v>416</v>
      </c>
      <c r="B275" s="1" t="str">
        <f t="shared" si="4"/>
        <v>151.4x15.2x2</v>
      </c>
      <c r="C275" s="3" t="s">
        <v>416</v>
      </c>
      <c r="D275" s="1">
        <v>151.4</v>
      </c>
      <c r="E275" s="1">
        <v>15.2</v>
      </c>
      <c r="F275" s="1">
        <v>2</v>
      </c>
    </row>
    <row r="276" spans="1:6">
      <c r="A276" s="3" t="s">
        <v>417</v>
      </c>
      <c r="B276" s="1" t="str">
        <f t="shared" si="4"/>
        <v>152.4x62.2x10</v>
      </c>
      <c r="C276" s="3" t="s">
        <v>417</v>
      </c>
      <c r="D276" s="1">
        <v>152.4</v>
      </c>
      <c r="E276" s="1">
        <v>62.2</v>
      </c>
      <c r="F276" s="1">
        <v>10</v>
      </c>
    </row>
    <row r="277" spans="1:6">
      <c r="A277" s="3" t="s">
        <v>418</v>
      </c>
      <c r="B277" s="1" t="str">
        <f t="shared" si="4"/>
        <v>152.4x66x4</v>
      </c>
      <c r="C277" s="3" t="s">
        <v>418</v>
      </c>
      <c r="D277" s="1">
        <v>152.4</v>
      </c>
      <c r="E277" s="1">
        <v>66</v>
      </c>
      <c r="F277" s="1">
        <v>4</v>
      </c>
    </row>
    <row r="278" spans="1:6">
      <c r="A278" s="3" t="s">
        <v>419</v>
      </c>
      <c r="B278" s="1" t="str">
        <f t="shared" si="4"/>
        <v>154.9x15.2x3</v>
      </c>
      <c r="C278" s="3" t="s">
        <v>419</v>
      </c>
      <c r="D278" s="1">
        <v>154.9</v>
      </c>
      <c r="E278" s="1">
        <v>15.2</v>
      </c>
      <c r="F278" s="1">
        <v>3</v>
      </c>
    </row>
    <row r="279" spans="1:6">
      <c r="A279" s="3" t="s">
        <v>420</v>
      </c>
      <c r="B279" s="1" t="str">
        <f t="shared" si="4"/>
        <v>155x13.5x5</v>
      </c>
      <c r="C279" s="3" t="s">
        <v>420</v>
      </c>
      <c r="D279" s="1">
        <v>155</v>
      </c>
      <c r="E279" s="1">
        <v>13.5</v>
      </c>
      <c r="F279" s="1">
        <v>5</v>
      </c>
    </row>
    <row r="280" spans="1:6">
      <c r="A280" s="3" t="s">
        <v>421</v>
      </c>
      <c r="B280" s="1" t="str">
        <f t="shared" si="4"/>
        <v>155x35x4</v>
      </c>
      <c r="C280" s="3" t="s">
        <v>421</v>
      </c>
      <c r="D280" s="1">
        <v>155</v>
      </c>
      <c r="E280" s="1">
        <v>35</v>
      </c>
      <c r="F280" s="1">
        <v>4</v>
      </c>
    </row>
    <row r="281" spans="1:6">
      <c r="A281" s="3" t="s">
        <v>422</v>
      </c>
      <c r="B281" s="1" t="str">
        <f t="shared" si="4"/>
        <v>155.5x13.5x5</v>
      </c>
      <c r="C281" s="3" t="s">
        <v>422</v>
      </c>
      <c r="D281" s="1">
        <v>155.5</v>
      </c>
      <c r="E281" s="1">
        <v>13.5</v>
      </c>
      <c r="F281" s="1">
        <v>5</v>
      </c>
    </row>
    <row r="282" spans="1:6">
      <c r="A282" s="3" t="s">
        <v>423</v>
      </c>
      <c r="B282" s="1" t="str">
        <f t="shared" si="4"/>
        <v>155.5x35x4</v>
      </c>
      <c r="C282" s="3" t="s">
        <v>423</v>
      </c>
      <c r="D282" s="1">
        <v>155.5</v>
      </c>
      <c r="E282" s="1">
        <v>35</v>
      </c>
      <c r="F282" s="1">
        <v>4</v>
      </c>
    </row>
    <row r="283" spans="1:6">
      <c r="A283" s="3" t="s">
        <v>424</v>
      </c>
      <c r="B283" s="1" t="str">
        <f t="shared" si="4"/>
        <v>158x13.5x2</v>
      </c>
      <c r="C283" s="3" t="s">
        <v>424</v>
      </c>
      <c r="D283" s="1">
        <v>158</v>
      </c>
      <c r="E283" s="1">
        <v>13.5</v>
      </c>
      <c r="F283" s="1">
        <v>2</v>
      </c>
    </row>
    <row r="284" spans="1:6">
      <c r="A284" s="3" t="s">
        <v>425</v>
      </c>
      <c r="B284" s="1" t="str">
        <f t="shared" si="4"/>
        <v>160x26.5x3</v>
      </c>
      <c r="C284" s="3" t="s">
        <v>425</v>
      </c>
      <c r="D284" s="1">
        <v>160</v>
      </c>
      <c r="E284" s="1">
        <v>26.5</v>
      </c>
      <c r="F284" s="1">
        <v>3</v>
      </c>
    </row>
    <row r="285" spans="1:6">
      <c r="A285" s="3" t="s">
        <v>426</v>
      </c>
      <c r="B285" s="1" t="str">
        <f t="shared" si="4"/>
        <v>160x80x2</v>
      </c>
      <c r="C285" s="3" t="s">
        <v>426</v>
      </c>
      <c r="D285" s="1">
        <v>160</v>
      </c>
      <c r="E285" s="1">
        <v>80</v>
      </c>
      <c r="F285" s="1">
        <v>2</v>
      </c>
    </row>
    <row r="286" spans="1:6">
      <c r="A286" s="3" t="s">
        <v>427</v>
      </c>
      <c r="B286" s="1" t="str">
        <f t="shared" si="4"/>
        <v>164.1x29.8x2</v>
      </c>
      <c r="C286" s="3" t="s">
        <v>427</v>
      </c>
      <c r="D286" s="1">
        <v>164.1</v>
      </c>
      <c r="E286" s="1">
        <v>29.8</v>
      </c>
      <c r="F286" s="1">
        <v>2</v>
      </c>
    </row>
    <row r="287" spans="1:6">
      <c r="A287" s="3" t="s">
        <v>428</v>
      </c>
      <c r="B287" s="1" t="str">
        <f t="shared" si="4"/>
        <v>166.7x29.8x2</v>
      </c>
      <c r="C287" s="3" t="s">
        <v>428</v>
      </c>
      <c r="D287" s="1">
        <v>166.7</v>
      </c>
      <c r="E287" s="1">
        <v>29.8</v>
      </c>
      <c r="F287" s="1">
        <v>2</v>
      </c>
    </row>
    <row r="288" spans="1:6">
      <c r="A288" s="3" t="s">
        <v>429</v>
      </c>
      <c r="B288" s="1" t="str">
        <f t="shared" si="4"/>
        <v>175x25x25</v>
      </c>
      <c r="C288" s="3" t="s">
        <v>429</v>
      </c>
      <c r="D288" s="1">
        <v>175</v>
      </c>
      <c r="E288" s="1">
        <v>25</v>
      </c>
      <c r="F288" s="1">
        <v>25</v>
      </c>
    </row>
    <row r="289" spans="1:6">
      <c r="A289" s="3" t="s">
        <v>430</v>
      </c>
      <c r="B289" s="1" t="str">
        <f t="shared" si="4"/>
        <v>180x15x12</v>
      </c>
      <c r="C289" s="3" t="s">
        <v>430</v>
      </c>
      <c r="D289" s="1">
        <v>180</v>
      </c>
      <c r="E289" s="1">
        <v>15</v>
      </c>
      <c r="F289" s="1">
        <v>12</v>
      </c>
    </row>
    <row r="290" spans="1:6">
      <c r="A290" s="3" t="s">
        <v>431</v>
      </c>
      <c r="B290" s="1" t="str">
        <f t="shared" si="4"/>
        <v>180x20x10</v>
      </c>
      <c r="C290" s="3" t="s">
        <v>431</v>
      </c>
      <c r="D290" s="1">
        <v>180</v>
      </c>
      <c r="E290" s="1">
        <v>20</v>
      </c>
      <c r="F290" s="1">
        <v>10</v>
      </c>
    </row>
    <row r="291" spans="1:6">
      <c r="A291" s="3" t="s">
        <v>432</v>
      </c>
      <c r="B291" s="1" t="str">
        <f t="shared" si="4"/>
        <v>180x24x12</v>
      </c>
      <c r="C291" s="3" t="s">
        <v>432</v>
      </c>
      <c r="D291" s="1">
        <v>180</v>
      </c>
      <c r="E291" s="1">
        <v>24</v>
      </c>
      <c r="F291" s="1">
        <v>12</v>
      </c>
    </row>
    <row r="292" spans="1:6">
      <c r="A292" s="3" t="s">
        <v>433</v>
      </c>
      <c r="B292" s="1" t="str">
        <f t="shared" si="4"/>
        <v>180x25x10</v>
      </c>
      <c r="C292" s="3" t="s">
        <v>433</v>
      </c>
      <c r="D292" s="1">
        <v>180</v>
      </c>
      <c r="E292" s="1">
        <v>25</v>
      </c>
      <c r="F292" s="1">
        <v>10</v>
      </c>
    </row>
    <row r="293" spans="1:6">
      <c r="A293" s="3" t="s">
        <v>434</v>
      </c>
      <c r="B293" s="1" t="str">
        <f t="shared" si="4"/>
        <v>180x30x7</v>
      </c>
      <c r="C293" s="3" t="s">
        <v>434</v>
      </c>
      <c r="D293" s="1">
        <v>180</v>
      </c>
      <c r="E293" s="1">
        <v>30</v>
      </c>
      <c r="F293" s="1">
        <v>7</v>
      </c>
    </row>
    <row r="294" spans="1:6">
      <c r="A294" s="3" t="s">
        <v>435</v>
      </c>
      <c r="B294" s="1" t="str">
        <f t="shared" si="4"/>
        <v>180x36x10</v>
      </c>
      <c r="C294" s="3" t="s">
        <v>435</v>
      </c>
      <c r="D294" s="1">
        <v>180</v>
      </c>
      <c r="E294" s="1">
        <v>36</v>
      </c>
      <c r="F294" s="1">
        <v>10</v>
      </c>
    </row>
    <row r="295" spans="1:6">
      <c r="A295" s="3" t="s">
        <v>436</v>
      </c>
      <c r="B295" s="1" t="str">
        <f t="shared" si="4"/>
        <v>182.9x15.2x3</v>
      </c>
      <c r="C295" s="3" t="s">
        <v>436</v>
      </c>
      <c r="D295" s="1">
        <v>182.9</v>
      </c>
      <c r="E295" s="1">
        <v>15.2</v>
      </c>
      <c r="F295" s="1">
        <v>3</v>
      </c>
    </row>
    <row r="296" spans="1:6">
      <c r="A296" s="3" t="s">
        <v>437</v>
      </c>
      <c r="B296" s="1" t="str">
        <f t="shared" si="4"/>
        <v>190x35x35</v>
      </c>
      <c r="C296" s="3" t="s">
        <v>437</v>
      </c>
      <c r="D296" s="1">
        <v>190</v>
      </c>
      <c r="E296" s="1">
        <v>35</v>
      </c>
      <c r="F296" s="1">
        <v>35</v>
      </c>
    </row>
    <row r="297" spans="1:6">
      <c r="A297" s="3" t="s">
        <v>438</v>
      </c>
      <c r="B297" s="1" t="str">
        <f t="shared" si="4"/>
        <v>200x14.5x3</v>
      </c>
      <c r="C297" s="3" t="s">
        <v>438</v>
      </c>
      <c r="D297" s="1">
        <v>200</v>
      </c>
      <c r="E297" s="1">
        <v>14.5</v>
      </c>
      <c r="F297" s="1">
        <v>3</v>
      </c>
    </row>
    <row r="298" spans="1:6">
      <c r="A298" s="3" t="s">
        <v>439</v>
      </c>
      <c r="B298" s="1" t="str">
        <f t="shared" si="4"/>
        <v>200x25x8</v>
      </c>
      <c r="C298" s="3" t="s">
        <v>439</v>
      </c>
      <c r="D298" s="1">
        <v>200</v>
      </c>
      <c r="E298" s="1">
        <v>25</v>
      </c>
      <c r="F298" s="1">
        <v>8</v>
      </c>
    </row>
    <row r="299" spans="1:6">
      <c r="A299" s="3" t="s">
        <v>440</v>
      </c>
      <c r="B299" s="1" t="str">
        <f t="shared" si="4"/>
        <v>200x25x10</v>
      </c>
      <c r="C299" s="3" t="s">
        <v>440</v>
      </c>
      <c r="D299" s="1">
        <v>200</v>
      </c>
      <c r="E299" s="1">
        <v>25</v>
      </c>
      <c r="F299" s="1">
        <v>10</v>
      </c>
    </row>
    <row r="300" spans="1:6">
      <c r="A300" s="3" t="s">
        <v>441</v>
      </c>
      <c r="B300" s="1" t="str">
        <f t="shared" si="4"/>
        <v>200x33x15</v>
      </c>
      <c r="C300" s="3" t="s">
        <v>441</v>
      </c>
      <c r="D300" s="1">
        <v>200</v>
      </c>
      <c r="E300" s="1">
        <v>33</v>
      </c>
      <c r="F300" s="1">
        <v>15</v>
      </c>
    </row>
    <row r="301" spans="1:6">
      <c r="A301" s="3" t="s">
        <v>442</v>
      </c>
      <c r="B301" s="1" t="str">
        <f t="shared" si="4"/>
        <v>200x35x3</v>
      </c>
      <c r="C301" s="3" t="s">
        <v>442</v>
      </c>
      <c r="D301" s="1">
        <v>200</v>
      </c>
      <c r="E301" s="1">
        <v>35</v>
      </c>
      <c r="F301" s="1">
        <v>3</v>
      </c>
    </row>
    <row r="302" spans="1:6">
      <c r="A302" s="3" t="s">
        <v>443</v>
      </c>
      <c r="B302" s="1" t="str">
        <f t="shared" si="4"/>
        <v>200x64x2</v>
      </c>
      <c r="C302" s="3" t="s">
        <v>443</v>
      </c>
      <c r="D302" s="1">
        <v>200</v>
      </c>
      <c r="E302" s="1">
        <v>64</v>
      </c>
      <c r="F302" s="1">
        <v>2</v>
      </c>
    </row>
    <row r="303" spans="1:6">
      <c r="A303" s="3" t="s">
        <v>444</v>
      </c>
      <c r="B303" s="1" t="str">
        <f t="shared" si="4"/>
        <v>210x30x7</v>
      </c>
      <c r="C303" s="3" t="s">
        <v>444</v>
      </c>
      <c r="D303" s="1">
        <v>210</v>
      </c>
      <c r="E303" s="1">
        <v>30</v>
      </c>
      <c r="F303" s="1">
        <v>7</v>
      </c>
    </row>
    <row r="304" spans="1:6">
      <c r="A304" s="3" t="s">
        <v>445</v>
      </c>
      <c r="B304" s="1" t="str">
        <f t="shared" si="4"/>
        <v>220x50x8</v>
      </c>
      <c r="C304" s="3" t="s">
        <v>445</v>
      </c>
      <c r="D304" s="1">
        <v>220</v>
      </c>
      <c r="E304" s="1">
        <v>50</v>
      </c>
      <c r="F304" s="1">
        <v>8</v>
      </c>
    </row>
    <row r="305" spans="1:6">
      <c r="A305" s="3" t="s">
        <v>446</v>
      </c>
      <c r="B305" s="1" t="str">
        <f t="shared" si="4"/>
        <v>250x25x10</v>
      </c>
      <c r="C305" s="3" t="s">
        <v>446</v>
      </c>
      <c r="D305" s="1">
        <v>250</v>
      </c>
      <c r="E305" s="1">
        <v>25</v>
      </c>
      <c r="F305" s="1">
        <v>10</v>
      </c>
    </row>
    <row r="306" spans="1:6">
      <c r="A306" s="3" t="s">
        <v>447</v>
      </c>
      <c r="B306" s="1" t="str">
        <f t="shared" si="4"/>
        <v>14-18-22x12x6</v>
      </c>
      <c r="C306" s="3" t="s">
        <v>447</v>
      </c>
      <c r="D306" s="5" t="s">
        <v>464</v>
      </c>
      <c r="E306" s="1">
        <v>12</v>
      </c>
      <c r="F306" s="1">
        <v>6</v>
      </c>
    </row>
    <row r="307" spans="1:6">
      <c r="A307" s="3" t="s">
        <v>448</v>
      </c>
      <c r="B307" s="1" t="str">
        <f t="shared" si="4"/>
        <v>150-220x60x3</v>
      </c>
      <c r="C307" s="3" t="s">
        <v>448</v>
      </c>
      <c r="D307" s="5" t="s">
        <v>465</v>
      </c>
      <c r="E307" s="1">
        <v>60</v>
      </c>
      <c r="F307" s="1">
        <v>3</v>
      </c>
    </row>
    <row r="308" spans="1:6">
      <c r="A308" s="3" t="s">
        <v>449</v>
      </c>
      <c r="B308" s="1" t="str">
        <f t="shared" si="4"/>
        <v>150-220x60x4</v>
      </c>
      <c r="C308" s="3" t="s">
        <v>449</v>
      </c>
      <c r="D308" s="5" t="s">
        <v>465</v>
      </c>
      <c r="E308" s="1">
        <v>60</v>
      </c>
      <c r="F308" s="1">
        <v>4</v>
      </c>
    </row>
    <row r="309" spans="1:6">
      <c r="A309" s="3" t="s">
        <v>450</v>
      </c>
      <c r="B309" s="1" t="str">
        <f t="shared" si="4"/>
        <v>150-220x80x3</v>
      </c>
      <c r="C309" s="3" t="s">
        <v>450</v>
      </c>
      <c r="D309" s="5" t="s">
        <v>465</v>
      </c>
      <c r="E309" s="1">
        <v>80</v>
      </c>
      <c r="F309" s="1">
        <v>3</v>
      </c>
    </row>
    <row r="310" spans="1:6">
      <c r="A310" s="3" t="s">
        <v>451</v>
      </c>
      <c r="B310" s="1" t="str">
        <f t="shared" si="4"/>
        <v>150-220x80x4</v>
      </c>
      <c r="C310" s="3" t="s">
        <v>451</v>
      </c>
      <c r="D310" s="5" t="s">
        <v>465</v>
      </c>
      <c r="E310" s="1">
        <v>80</v>
      </c>
      <c r="F310" s="1">
        <v>4</v>
      </c>
    </row>
    <row r="311" spans="1:6">
      <c r="A311" s="3" t="s">
        <v>452</v>
      </c>
      <c r="B311" s="1" t="str">
        <f t="shared" si="4"/>
        <v>180-220x60x4</v>
      </c>
      <c r="C311" s="3" t="s">
        <v>452</v>
      </c>
      <c r="D311" s="5" t="s">
        <v>466</v>
      </c>
      <c r="E311" s="1">
        <v>60</v>
      </c>
      <c r="F311" s="1">
        <v>4</v>
      </c>
    </row>
    <row r="312" spans="1:6">
      <c r="A312" s="3" t="s">
        <v>453</v>
      </c>
      <c r="B312" s="1" t="str">
        <f t="shared" si="4"/>
        <v>19.5-60x19.5-40x2</v>
      </c>
      <c r="C312" s="3" t="s">
        <v>453</v>
      </c>
      <c r="D312" s="5" t="s">
        <v>467</v>
      </c>
      <c r="E312" s="5" t="s">
        <v>468</v>
      </c>
      <c r="F312" s="1">
        <v>2</v>
      </c>
    </row>
    <row r="313" spans="1:6">
      <c r="A313" s="3" t="s">
        <v>454</v>
      </c>
      <c r="B313" s="1" t="str">
        <f t="shared" si="4"/>
        <v>19.5-60x19.5-40x2.5</v>
      </c>
      <c r="C313" s="3" t="s">
        <v>454</v>
      </c>
      <c r="D313" s="5" t="s">
        <v>467</v>
      </c>
      <c r="E313" s="5" t="s">
        <v>468</v>
      </c>
      <c r="F313" s="1">
        <v>2.5</v>
      </c>
    </row>
    <row r="314" spans="1:6">
      <c r="A314" s="3" t="s">
        <v>455</v>
      </c>
      <c r="B314" s="1" t="str">
        <f t="shared" si="4"/>
        <v>20-30-40x20x6</v>
      </c>
      <c r="C314" s="3" t="s">
        <v>455</v>
      </c>
      <c r="D314" s="5" t="s">
        <v>469</v>
      </c>
      <c r="E314" s="1">
        <v>20</v>
      </c>
      <c r="F314" s="1">
        <v>6</v>
      </c>
    </row>
    <row r="315" spans="1:6">
      <c r="A315" s="3" t="s">
        <v>456</v>
      </c>
      <c r="B315" s="1" t="str">
        <f t="shared" si="4"/>
        <v>20-40x20-40x2</v>
      </c>
      <c r="C315" s="3" t="s">
        <v>456</v>
      </c>
      <c r="D315" s="5" t="s">
        <v>470</v>
      </c>
      <c r="E315" s="5" t="s">
        <v>470</v>
      </c>
      <c r="F315" s="1">
        <v>2</v>
      </c>
    </row>
    <row r="316" spans="1:6">
      <c r="A316" s="3" t="s">
        <v>457</v>
      </c>
      <c r="B316" s="1" t="str">
        <f t="shared" si="4"/>
        <v>29.7-60x29.7-60x3</v>
      </c>
      <c r="C316" s="3" t="s">
        <v>457</v>
      </c>
      <c r="D316" s="5" t="s">
        <v>471</v>
      </c>
      <c r="E316" s="5" t="s">
        <v>471</v>
      </c>
      <c r="F316" s="1">
        <v>3</v>
      </c>
    </row>
    <row r="317" spans="1:6">
      <c r="A317" s="3" t="s">
        <v>458</v>
      </c>
      <c r="B317" s="1" t="str">
        <f t="shared" si="4"/>
        <v>30-45-60x20x7.5</v>
      </c>
      <c r="C317" s="3" t="s">
        <v>458</v>
      </c>
      <c r="D317" s="5" t="s">
        <v>472</v>
      </c>
      <c r="E317" s="1">
        <v>20</v>
      </c>
      <c r="F317" s="1">
        <v>7.5</v>
      </c>
    </row>
    <row r="318" spans="1:6">
      <c r="A318" s="3" t="s">
        <v>459</v>
      </c>
      <c r="B318" s="1" t="str">
        <f t="shared" si="4"/>
        <v>30-45-60x20x15</v>
      </c>
      <c r="C318" s="3" t="s">
        <v>459</v>
      </c>
      <c r="D318" s="5" t="s">
        <v>472</v>
      </c>
      <c r="E318" s="1">
        <v>20</v>
      </c>
      <c r="F318" s="1">
        <v>15</v>
      </c>
    </row>
    <row r="319" spans="1:6">
      <c r="A319" s="3" t="s">
        <v>460</v>
      </c>
      <c r="B319" s="1" t="str">
        <f t="shared" si="4"/>
        <v>30-45-60x20x22.5</v>
      </c>
      <c r="C319" s="3" t="s">
        <v>460</v>
      </c>
      <c r="D319" s="5" t="s">
        <v>472</v>
      </c>
      <c r="E319" s="1">
        <v>20</v>
      </c>
      <c r="F319" s="1">
        <v>22.5</v>
      </c>
    </row>
    <row r="320" spans="1:6">
      <c r="A320" s="3" t="s">
        <v>461</v>
      </c>
      <c r="B320" s="1" t="str">
        <f t="shared" si="4"/>
        <v>45-50x45-50x8</v>
      </c>
      <c r="C320" s="3" t="s">
        <v>461</v>
      </c>
      <c r="D320" s="5" t="s">
        <v>473</v>
      </c>
      <c r="E320" s="5" t="s">
        <v>473</v>
      </c>
      <c r="F320" s="1">
        <v>8</v>
      </c>
    </row>
    <row r="321" spans="1:6">
      <c r="A321" s="3" t="s">
        <v>462</v>
      </c>
      <c r="B321" s="1" t="str">
        <f t="shared" si="4"/>
        <v>50-60x50-60x3</v>
      </c>
      <c r="C321" s="3" t="s">
        <v>462</v>
      </c>
      <c r="D321" s="5" t="s">
        <v>474</v>
      </c>
      <c r="E321" s="5" t="s">
        <v>474</v>
      </c>
      <c r="F321" s="1">
        <v>3</v>
      </c>
    </row>
    <row r="322" spans="1:6">
      <c r="A322" s="3" t="s">
        <v>463</v>
      </c>
      <c r="B322" s="1" t="str">
        <f t="shared" si="4"/>
        <v>90-110x28x12</v>
      </c>
      <c r="C322" s="3" t="s">
        <v>463</v>
      </c>
      <c r="D322" s="5" t="s">
        <v>475</v>
      </c>
      <c r="E322" s="1">
        <v>28</v>
      </c>
      <c r="F322" s="1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7"/>
  <sheetViews>
    <sheetView workbookViewId="0">
      <selection activeCell="B5" sqref="B5"/>
    </sheetView>
  </sheetViews>
  <sheetFormatPr defaultColWidth="9.140625" defaultRowHeight="15"/>
  <cols>
    <col min="1" max="1" width="21.7109375" style="7" customWidth="1"/>
    <col min="2" max="2" width="87.42578125" style="7" customWidth="1"/>
    <col min="3" max="3" width="12.5703125" style="7" bestFit="1" customWidth="1"/>
    <col min="4" max="4" width="17.28515625" style="7" bestFit="1" customWidth="1"/>
    <col min="5" max="5" width="70.42578125" style="7" customWidth="1"/>
    <col min="6" max="8" width="9.140625" style="7"/>
    <col min="9" max="9" width="10.85546875" style="7" customWidth="1"/>
    <col min="10" max="10" width="14" style="7" customWidth="1"/>
    <col min="11" max="16384" width="9.140625" style="7"/>
  </cols>
  <sheetData>
    <row r="1" spans="1:10">
      <c r="A1" s="7" t="s">
        <v>479</v>
      </c>
      <c r="B1" s="7" t="s">
        <v>1091</v>
      </c>
      <c r="C1" s="7" t="s">
        <v>480</v>
      </c>
      <c r="D1" s="7" t="s">
        <v>481</v>
      </c>
      <c r="E1" s="7" t="s">
        <v>482</v>
      </c>
      <c r="F1" s="7" t="s">
        <v>8</v>
      </c>
      <c r="G1" s="7" t="s">
        <v>140</v>
      </c>
      <c r="H1" s="7" t="s">
        <v>141</v>
      </c>
      <c r="I1" s="7" t="s">
        <v>483</v>
      </c>
      <c r="J1" s="7" t="s">
        <v>484</v>
      </c>
    </row>
    <row r="2" spans="1:10">
      <c r="A2" s="7" t="s">
        <v>485</v>
      </c>
      <c r="B2" s="7" t="s">
        <v>1092</v>
      </c>
      <c r="C2" s="7" t="s">
        <v>486</v>
      </c>
      <c r="D2" s="7" t="s">
        <v>32</v>
      </c>
      <c r="E2" s="7" t="s">
        <v>487</v>
      </c>
      <c r="F2" s="7">
        <v>100</v>
      </c>
      <c r="G2" s="7">
        <v>35</v>
      </c>
      <c r="H2" s="7">
        <v>15</v>
      </c>
      <c r="I2" s="7">
        <v>10</v>
      </c>
    </row>
    <row r="3" spans="1:10">
      <c r="A3" s="7" t="s">
        <v>488</v>
      </c>
      <c r="B3" s="7" t="s">
        <v>1093</v>
      </c>
      <c r="C3" s="7" t="s">
        <v>486</v>
      </c>
      <c r="D3" s="7" t="s">
        <v>32</v>
      </c>
      <c r="E3" s="7" t="s">
        <v>487</v>
      </c>
      <c r="F3" s="7">
        <v>100</v>
      </c>
      <c r="G3" s="7">
        <v>35</v>
      </c>
      <c r="H3" s="7">
        <v>15</v>
      </c>
      <c r="I3" s="7">
        <v>5</v>
      </c>
    </row>
    <row r="4" spans="1:10">
      <c r="A4" s="7" t="s">
        <v>489</v>
      </c>
      <c r="B4" s="7" t="s">
        <v>1094</v>
      </c>
      <c r="C4" s="7" t="s">
        <v>486</v>
      </c>
      <c r="D4" s="7" t="s">
        <v>32</v>
      </c>
      <c r="E4" s="7" t="s">
        <v>487</v>
      </c>
      <c r="F4" s="7">
        <v>125</v>
      </c>
      <c r="G4" s="7">
        <v>35</v>
      </c>
      <c r="H4" s="7">
        <v>15</v>
      </c>
      <c r="I4" s="7">
        <v>8</v>
      </c>
    </row>
    <row r="5" spans="1:10">
      <c r="A5" s="7" t="s">
        <v>490</v>
      </c>
      <c r="B5" s="7" t="s">
        <v>1095</v>
      </c>
      <c r="C5" s="7" t="s">
        <v>486</v>
      </c>
      <c r="D5" s="7" t="s">
        <v>32</v>
      </c>
      <c r="E5" s="7" t="s">
        <v>487</v>
      </c>
      <c r="F5" s="7">
        <v>150</v>
      </c>
      <c r="G5" s="7">
        <v>35</v>
      </c>
      <c r="H5" s="7">
        <v>15</v>
      </c>
      <c r="I5" s="7">
        <v>6</v>
      </c>
    </row>
    <row r="6" spans="1:10">
      <c r="A6" s="7" t="s">
        <v>491</v>
      </c>
      <c r="B6" s="7" t="s">
        <v>1096</v>
      </c>
      <c r="C6" s="7" t="s">
        <v>486</v>
      </c>
      <c r="D6" s="7" t="s">
        <v>32</v>
      </c>
      <c r="E6" s="7" t="s">
        <v>487</v>
      </c>
      <c r="F6" s="7">
        <v>75</v>
      </c>
      <c r="G6" s="7">
        <v>35</v>
      </c>
      <c r="H6" s="7">
        <v>15</v>
      </c>
      <c r="I6" s="7">
        <v>10</v>
      </c>
    </row>
    <row r="7" spans="1:10">
      <c r="A7" s="7" t="s">
        <v>492</v>
      </c>
      <c r="B7" s="7" t="s">
        <v>1097</v>
      </c>
      <c r="C7" s="7" t="s">
        <v>486</v>
      </c>
      <c r="D7" s="7" t="s">
        <v>32</v>
      </c>
      <c r="E7" s="7" t="s">
        <v>493</v>
      </c>
      <c r="F7" s="7">
        <v>100</v>
      </c>
      <c r="G7" s="7">
        <v>10</v>
      </c>
      <c r="H7" s="7">
        <v>8</v>
      </c>
      <c r="I7" s="7">
        <v>42</v>
      </c>
    </row>
    <row r="8" spans="1:10">
      <c r="A8" s="7" t="s">
        <v>494</v>
      </c>
      <c r="B8" s="7" t="s">
        <v>1098</v>
      </c>
      <c r="C8" s="7" t="s">
        <v>486</v>
      </c>
      <c r="D8" s="7" t="s">
        <v>32</v>
      </c>
      <c r="E8" s="7" t="s">
        <v>495</v>
      </c>
      <c r="F8" s="7">
        <v>100</v>
      </c>
      <c r="G8" s="7">
        <v>12</v>
      </c>
      <c r="H8" s="7">
        <v>12</v>
      </c>
      <c r="I8" s="7">
        <v>32</v>
      </c>
    </row>
    <row r="9" spans="1:10">
      <c r="A9" s="7" t="s">
        <v>496</v>
      </c>
      <c r="B9" s="7" t="s">
        <v>1099</v>
      </c>
      <c r="C9" s="7" t="s">
        <v>486</v>
      </c>
      <c r="D9" s="7" t="s">
        <v>32</v>
      </c>
      <c r="E9" s="7" t="s">
        <v>493</v>
      </c>
      <c r="F9" s="7">
        <v>100</v>
      </c>
      <c r="G9" s="7">
        <v>15</v>
      </c>
      <c r="H9" s="7">
        <v>8</v>
      </c>
      <c r="I9" s="7">
        <v>12</v>
      </c>
    </row>
    <row r="10" spans="1:10">
      <c r="A10" s="7" t="s">
        <v>497</v>
      </c>
      <c r="B10" s="7" t="s">
        <v>1100</v>
      </c>
      <c r="C10" s="7" t="s">
        <v>486</v>
      </c>
      <c r="D10" s="7" t="s">
        <v>32</v>
      </c>
      <c r="E10" s="7" t="s">
        <v>493</v>
      </c>
      <c r="F10" s="7">
        <v>100</v>
      </c>
      <c r="G10" s="7">
        <v>20</v>
      </c>
      <c r="H10" s="7">
        <v>8</v>
      </c>
      <c r="I10" s="7">
        <v>20</v>
      </c>
    </row>
    <row r="11" spans="1:10">
      <c r="A11" s="7" t="s">
        <v>498</v>
      </c>
      <c r="B11" s="7" t="s">
        <v>1101</v>
      </c>
      <c r="C11" s="7" t="s">
        <v>486</v>
      </c>
      <c r="D11" s="7" t="s">
        <v>32</v>
      </c>
      <c r="E11" s="7" t="s">
        <v>493</v>
      </c>
      <c r="F11" s="7">
        <v>100</v>
      </c>
      <c r="G11" s="7">
        <v>35</v>
      </c>
      <c r="H11" s="7">
        <v>15</v>
      </c>
      <c r="I11" s="7">
        <v>10</v>
      </c>
    </row>
    <row r="12" spans="1:10">
      <c r="A12" s="7" t="s">
        <v>499</v>
      </c>
      <c r="B12" s="7" t="s">
        <v>1102</v>
      </c>
      <c r="C12" s="7" t="s">
        <v>486</v>
      </c>
      <c r="D12" s="7" t="s">
        <v>32</v>
      </c>
      <c r="E12" s="7" t="s">
        <v>493</v>
      </c>
      <c r="F12" s="7">
        <v>100</v>
      </c>
      <c r="G12" s="7">
        <v>35</v>
      </c>
      <c r="H12" s="7">
        <v>15</v>
      </c>
      <c r="I12" s="7">
        <v>5</v>
      </c>
    </row>
    <row r="13" spans="1:10">
      <c r="A13" s="7" t="s">
        <v>500</v>
      </c>
      <c r="B13" s="7" t="s">
        <v>1103</v>
      </c>
      <c r="C13" s="7" t="s">
        <v>486</v>
      </c>
      <c r="D13" s="7" t="s">
        <v>32</v>
      </c>
      <c r="E13" s="7" t="s">
        <v>493</v>
      </c>
      <c r="F13" s="7">
        <v>100</v>
      </c>
      <c r="G13" s="7">
        <v>35</v>
      </c>
      <c r="H13" s="7">
        <v>15</v>
      </c>
      <c r="I13" s="7">
        <v>8</v>
      </c>
    </row>
    <row r="14" spans="1:10">
      <c r="A14" s="7" t="s">
        <v>501</v>
      </c>
      <c r="B14" s="7" t="s">
        <v>1104</v>
      </c>
      <c r="C14" s="7" t="s">
        <v>486</v>
      </c>
      <c r="D14" s="7" t="s">
        <v>32</v>
      </c>
      <c r="E14" s="7" t="s">
        <v>493</v>
      </c>
      <c r="F14" s="7">
        <v>120</v>
      </c>
      <c r="G14" s="7">
        <v>35</v>
      </c>
      <c r="H14" s="7">
        <v>15</v>
      </c>
      <c r="I14" s="7">
        <v>8</v>
      </c>
    </row>
    <row r="15" spans="1:10">
      <c r="A15" s="7" t="s">
        <v>502</v>
      </c>
      <c r="B15" s="7" t="s">
        <v>1105</v>
      </c>
      <c r="C15" s="7" t="s">
        <v>486</v>
      </c>
      <c r="D15" s="7" t="s">
        <v>32</v>
      </c>
      <c r="E15" s="7" t="s">
        <v>493</v>
      </c>
      <c r="F15" s="7">
        <v>125</v>
      </c>
      <c r="G15" s="7">
        <v>35</v>
      </c>
      <c r="H15" s="7">
        <v>15</v>
      </c>
      <c r="I15" s="7">
        <v>5</v>
      </c>
    </row>
    <row r="16" spans="1:10">
      <c r="A16" s="7" t="s">
        <v>503</v>
      </c>
      <c r="B16" s="7" t="s">
        <v>1106</v>
      </c>
      <c r="C16" s="7" t="s">
        <v>486</v>
      </c>
      <c r="D16" s="7" t="s">
        <v>32</v>
      </c>
      <c r="E16" s="7" t="s">
        <v>493</v>
      </c>
      <c r="F16" s="7">
        <v>125</v>
      </c>
      <c r="G16" s="7">
        <v>35</v>
      </c>
      <c r="H16" s="7">
        <v>15</v>
      </c>
      <c r="I16" s="7">
        <v>6</v>
      </c>
    </row>
    <row r="17" spans="1:9">
      <c r="A17" s="7" t="s">
        <v>504</v>
      </c>
      <c r="B17" s="7" t="s">
        <v>1107</v>
      </c>
      <c r="C17" s="7" t="s">
        <v>486</v>
      </c>
      <c r="D17" s="7" t="s">
        <v>32</v>
      </c>
      <c r="E17" s="7" t="s">
        <v>495</v>
      </c>
      <c r="F17" s="7">
        <v>150</v>
      </c>
      <c r="G17" s="7">
        <v>12</v>
      </c>
      <c r="H17" s="7">
        <v>12</v>
      </c>
      <c r="I17" s="7">
        <v>24</v>
      </c>
    </row>
    <row r="18" spans="1:9">
      <c r="A18" s="7" t="s">
        <v>505</v>
      </c>
      <c r="B18" s="7" t="s">
        <v>1108</v>
      </c>
      <c r="C18" s="7" t="s">
        <v>486</v>
      </c>
      <c r="D18" s="7" t="s">
        <v>32</v>
      </c>
      <c r="E18" s="7" t="s">
        <v>493</v>
      </c>
      <c r="F18" s="7">
        <v>150</v>
      </c>
      <c r="G18" s="7">
        <v>35</v>
      </c>
      <c r="H18" s="7">
        <v>15</v>
      </c>
      <c r="I18" s="7">
        <v>5</v>
      </c>
    </row>
    <row r="19" spans="1:9">
      <c r="A19" s="7" t="s">
        <v>506</v>
      </c>
      <c r="B19" s="7" t="s">
        <v>1109</v>
      </c>
      <c r="C19" s="7" t="s">
        <v>486</v>
      </c>
      <c r="D19" s="7" t="s">
        <v>32</v>
      </c>
      <c r="E19" s="7" t="s">
        <v>493</v>
      </c>
      <c r="F19" s="7">
        <v>150</v>
      </c>
      <c r="G19" s="7">
        <v>35</v>
      </c>
      <c r="H19" s="7">
        <v>15</v>
      </c>
      <c r="I19" s="7">
        <v>6</v>
      </c>
    </row>
    <row r="20" spans="1:9">
      <c r="A20" s="7" t="s">
        <v>507</v>
      </c>
      <c r="B20" s="7" t="s">
        <v>1110</v>
      </c>
      <c r="C20" s="7" t="s">
        <v>486</v>
      </c>
      <c r="D20" s="7" t="s">
        <v>32</v>
      </c>
      <c r="E20" s="7" t="s">
        <v>493</v>
      </c>
      <c r="F20" s="7">
        <v>20</v>
      </c>
      <c r="G20" s="7">
        <v>35</v>
      </c>
      <c r="H20" s="7">
        <v>15</v>
      </c>
      <c r="I20" s="7">
        <v>40</v>
      </c>
    </row>
    <row r="21" spans="1:9">
      <c r="A21" s="7" t="s">
        <v>508</v>
      </c>
      <c r="B21" s="7" t="s">
        <v>1111</v>
      </c>
      <c r="C21" s="7" t="s">
        <v>486</v>
      </c>
      <c r="D21" s="7" t="s">
        <v>32</v>
      </c>
      <c r="E21" s="7" t="s">
        <v>495</v>
      </c>
      <c r="F21" s="7">
        <v>30</v>
      </c>
      <c r="G21" s="7">
        <v>12</v>
      </c>
      <c r="H21" s="7">
        <v>12</v>
      </c>
      <c r="I21" s="7">
        <v>120</v>
      </c>
    </row>
    <row r="22" spans="1:9">
      <c r="A22" s="7" t="s">
        <v>509</v>
      </c>
      <c r="B22" s="7" t="s">
        <v>1112</v>
      </c>
      <c r="C22" s="7" t="s">
        <v>486</v>
      </c>
      <c r="D22" s="7" t="s">
        <v>32</v>
      </c>
      <c r="E22" s="7" t="s">
        <v>493</v>
      </c>
      <c r="F22" s="7">
        <v>40</v>
      </c>
      <c r="G22" s="7">
        <v>18</v>
      </c>
      <c r="H22" s="7">
        <v>15</v>
      </c>
      <c r="I22" s="7">
        <v>40</v>
      </c>
    </row>
    <row r="23" spans="1:9">
      <c r="A23" s="7" t="s">
        <v>510</v>
      </c>
      <c r="B23" s="7" t="s">
        <v>1113</v>
      </c>
      <c r="C23" s="7" t="s">
        <v>486</v>
      </c>
      <c r="D23" s="7" t="s">
        <v>32</v>
      </c>
      <c r="E23" s="7" t="s">
        <v>495</v>
      </c>
      <c r="F23" s="7">
        <v>50</v>
      </c>
      <c r="G23" s="7">
        <v>12</v>
      </c>
      <c r="H23" s="7">
        <v>12</v>
      </c>
      <c r="I23" s="7">
        <v>64</v>
      </c>
    </row>
    <row r="24" spans="1:9">
      <c r="A24" s="7" t="s">
        <v>511</v>
      </c>
      <c r="B24" s="7" t="s">
        <v>1114</v>
      </c>
      <c r="C24" s="7" t="s">
        <v>486</v>
      </c>
      <c r="D24" s="7" t="s">
        <v>32</v>
      </c>
      <c r="E24" s="7" t="s">
        <v>493</v>
      </c>
      <c r="F24" s="7">
        <v>50</v>
      </c>
      <c r="G24" s="7">
        <v>35</v>
      </c>
      <c r="H24" s="7">
        <v>15</v>
      </c>
      <c r="I24" s="7">
        <v>10</v>
      </c>
    </row>
    <row r="25" spans="1:9">
      <c r="A25" s="7" t="s">
        <v>512</v>
      </c>
      <c r="B25" s="7" t="s">
        <v>1115</v>
      </c>
      <c r="C25" s="7" t="s">
        <v>486</v>
      </c>
      <c r="D25" s="7" t="s">
        <v>32</v>
      </c>
      <c r="E25" s="7" t="s">
        <v>495</v>
      </c>
      <c r="F25" s="7">
        <v>75</v>
      </c>
      <c r="G25" s="7">
        <v>12</v>
      </c>
      <c r="H25" s="7">
        <v>12</v>
      </c>
      <c r="I25" s="7">
        <v>45</v>
      </c>
    </row>
    <row r="26" spans="1:9">
      <c r="A26" s="7" t="s">
        <v>513</v>
      </c>
      <c r="B26" s="7" t="s">
        <v>1116</v>
      </c>
      <c r="C26" s="7" t="s">
        <v>486</v>
      </c>
      <c r="D26" s="7" t="s">
        <v>32</v>
      </c>
      <c r="E26" s="7" t="s">
        <v>493</v>
      </c>
      <c r="F26" s="7">
        <v>75</v>
      </c>
      <c r="G26" s="7">
        <v>35</v>
      </c>
      <c r="H26" s="7">
        <v>15</v>
      </c>
      <c r="I26" s="7">
        <v>10</v>
      </c>
    </row>
    <row r="27" spans="1:9">
      <c r="A27" s="7" t="s">
        <v>514</v>
      </c>
      <c r="B27" s="7" t="s">
        <v>1117</v>
      </c>
      <c r="C27" s="7" t="s">
        <v>486</v>
      </c>
      <c r="D27" s="7" t="s">
        <v>32</v>
      </c>
      <c r="E27" s="7" t="s">
        <v>493</v>
      </c>
      <c r="F27" s="7">
        <v>80</v>
      </c>
      <c r="G27" s="7">
        <v>35</v>
      </c>
      <c r="H27" s="7">
        <v>15</v>
      </c>
      <c r="I27" s="7">
        <v>10</v>
      </c>
    </row>
    <row r="28" spans="1:9">
      <c r="A28" s="7" t="s">
        <v>515</v>
      </c>
      <c r="B28" s="7" t="s">
        <v>1118</v>
      </c>
      <c r="C28" s="7" t="s">
        <v>486</v>
      </c>
      <c r="D28" s="7" t="s">
        <v>36</v>
      </c>
      <c r="E28" s="7" t="s">
        <v>89</v>
      </c>
      <c r="F28" s="7">
        <v>30</v>
      </c>
      <c r="G28" s="7">
        <v>15</v>
      </c>
      <c r="H28" s="7">
        <v>10</v>
      </c>
      <c r="I28" s="7">
        <v>126</v>
      </c>
    </row>
    <row r="29" spans="1:9">
      <c r="A29" s="7" t="s">
        <v>516</v>
      </c>
      <c r="B29" s="7" t="s">
        <v>1119</v>
      </c>
      <c r="C29" s="7" t="s">
        <v>486</v>
      </c>
      <c r="D29" s="7" t="s">
        <v>28</v>
      </c>
      <c r="E29" s="7" t="s">
        <v>517</v>
      </c>
      <c r="F29" s="7">
        <v>20</v>
      </c>
      <c r="G29" s="7">
        <v>10</v>
      </c>
      <c r="H29" s="7">
        <v>5</v>
      </c>
      <c r="I29" s="7">
        <v>400</v>
      </c>
    </row>
    <row r="30" spans="1:9">
      <c r="A30" s="7" t="s">
        <v>518</v>
      </c>
      <c r="B30" s="7" t="s">
        <v>1120</v>
      </c>
      <c r="C30" s="7" t="s">
        <v>486</v>
      </c>
      <c r="D30" s="7" t="s">
        <v>28</v>
      </c>
      <c r="E30" s="7" t="s">
        <v>519</v>
      </c>
      <c r="F30" s="7">
        <v>10</v>
      </c>
      <c r="G30" s="7">
        <v>10</v>
      </c>
      <c r="H30" s="7">
        <v>6</v>
      </c>
      <c r="I30" s="7">
        <v>900</v>
      </c>
    </row>
    <row r="31" spans="1:9">
      <c r="A31" s="7" t="s">
        <v>520</v>
      </c>
      <c r="B31" s="7" t="s">
        <v>1121</v>
      </c>
      <c r="C31" s="7" t="s">
        <v>486</v>
      </c>
      <c r="D31" s="7" t="s">
        <v>28</v>
      </c>
      <c r="E31" s="7" t="s">
        <v>519</v>
      </c>
      <c r="F31" s="7">
        <v>10</v>
      </c>
      <c r="G31" s="7">
        <v>10</v>
      </c>
      <c r="H31" s="7">
        <v>8</v>
      </c>
      <c r="I31" s="7">
        <v>700</v>
      </c>
    </row>
    <row r="32" spans="1:9">
      <c r="A32" s="7" t="s">
        <v>521</v>
      </c>
      <c r="B32" s="7" t="s">
        <v>1122</v>
      </c>
      <c r="C32" s="7" t="s">
        <v>486</v>
      </c>
      <c r="D32" s="7" t="s">
        <v>28</v>
      </c>
      <c r="E32" s="7" t="s">
        <v>519</v>
      </c>
      <c r="F32" s="7">
        <v>15</v>
      </c>
      <c r="G32" s="7">
        <v>15</v>
      </c>
      <c r="H32" s="7">
        <v>15</v>
      </c>
      <c r="I32" s="7">
        <v>144</v>
      </c>
    </row>
    <row r="33" spans="1:9">
      <c r="A33" s="7" t="s">
        <v>522</v>
      </c>
      <c r="B33" s="7" t="s">
        <v>1123</v>
      </c>
      <c r="C33" s="7" t="s">
        <v>486</v>
      </c>
      <c r="D33" s="7" t="s">
        <v>28</v>
      </c>
      <c r="E33" s="7" t="s">
        <v>519</v>
      </c>
      <c r="F33" s="7">
        <v>16</v>
      </c>
      <c r="G33" s="7">
        <v>16</v>
      </c>
      <c r="H33" s="7">
        <v>14</v>
      </c>
      <c r="I33" s="7">
        <v>144</v>
      </c>
    </row>
    <row r="34" spans="1:9">
      <c r="A34" s="7" t="s">
        <v>523</v>
      </c>
      <c r="B34" s="7" t="s">
        <v>1124</v>
      </c>
      <c r="C34" s="7" t="s">
        <v>486</v>
      </c>
      <c r="D34" s="7" t="s">
        <v>28</v>
      </c>
      <c r="E34" s="7" t="s">
        <v>519</v>
      </c>
      <c r="F34" s="7">
        <v>5</v>
      </c>
      <c r="G34" s="7">
        <v>5</v>
      </c>
      <c r="H34" s="7">
        <v>5</v>
      </c>
      <c r="I34" s="7">
        <v>4000</v>
      </c>
    </row>
    <row r="35" spans="1:9">
      <c r="A35" s="7" t="s">
        <v>524</v>
      </c>
      <c r="B35" s="7" t="s">
        <v>1125</v>
      </c>
      <c r="C35" s="7" t="s">
        <v>486</v>
      </c>
      <c r="D35" s="7" t="s">
        <v>28</v>
      </c>
      <c r="E35" s="7" t="s">
        <v>519</v>
      </c>
      <c r="F35" s="7">
        <v>9</v>
      </c>
      <c r="G35" s="7">
        <v>9</v>
      </c>
      <c r="H35" s="7">
        <v>8</v>
      </c>
      <c r="I35" s="7">
        <v>726</v>
      </c>
    </row>
    <row r="36" spans="1:9">
      <c r="A36" s="7" t="s">
        <v>525</v>
      </c>
      <c r="B36" s="7" t="s">
        <v>1126</v>
      </c>
      <c r="C36" s="7" t="s">
        <v>486</v>
      </c>
      <c r="D36" s="7" t="s">
        <v>28</v>
      </c>
      <c r="E36" s="7" t="s">
        <v>89</v>
      </c>
      <c r="F36" s="7">
        <v>10</v>
      </c>
      <c r="G36" s="7">
        <v>10</v>
      </c>
      <c r="H36" s="7">
        <v>8</v>
      </c>
      <c r="I36" s="7">
        <v>700</v>
      </c>
    </row>
    <row r="37" spans="1:9">
      <c r="A37" s="7" t="s">
        <v>526</v>
      </c>
      <c r="B37" s="7" t="s">
        <v>1127</v>
      </c>
      <c r="C37" s="7" t="s">
        <v>486</v>
      </c>
      <c r="D37" s="7" t="s">
        <v>28</v>
      </c>
      <c r="E37" s="7" t="s">
        <v>89</v>
      </c>
      <c r="F37" s="7">
        <v>14</v>
      </c>
      <c r="G37" s="7">
        <v>14</v>
      </c>
      <c r="H37" s="7">
        <v>8</v>
      </c>
      <c r="I37" s="7">
        <v>7700</v>
      </c>
    </row>
    <row r="38" spans="1:9">
      <c r="A38" s="7" t="s">
        <v>527</v>
      </c>
      <c r="B38" s="7" t="s">
        <v>1128</v>
      </c>
      <c r="C38" s="7" t="s">
        <v>486</v>
      </c>
      <c r="D38" s="7" t="s">
        <v>28</v>
      </c>
      <c r="E38" s="7" t="s">
        <v>89</v>
      </c>
      <c r="F38" s="7">
        <v>14</v>
      </c>
      <c r="G38" s="7">
        <v>14</v>
      </c>
      <c r="H38" s="7">
        <v>9</v>
      </c>
      <c r="I38" s="7">
        <v>343</v>
      </c>
    </row>
    <row r="39" spans="1:9">
      <c r="A39" s="7" t="s">
        <v>528</v>
      </c>
      <c r="B39" s="7" t="s">
        <v>1129</v>
      </c>
      <c r="C39" s="7" t="s">
        <v>486</v>
      </c>
      <c r="D39" s="7" t="s">
        <v>28</v>
      </c>
      <c r="E39" s="7" t="s">
        <v>89</v>
      </c>
      <c r="F39" s="7">
        <v>20</v>
      </c>
      <c r="G39" s="7">
        <v>10</v>
      </c>
      <c r="H39" s="7">
        <v>8.5</v>
      </c>
      <c r="I39" s="7">
        <v>350</v>
      </c>
    </row>
    <row r="40" spans="1:9">
      <c r="A40" s="7" t="s">
        <v>529</v>
      </c>
      <c r="B40" s="7" t="s">
        <v>1130</v>
      </c>
      <c r="C40" s="7" t="s">
        <v>486</v>
      </c>
      <c r="D40" s="7" t="s">
        <v>28</v>
      </c>
      <c r="E40" s="7" t="s">
        <v>89</v>
      </c>
      <c r="F40" s="7">
        <v>20</v>
      </c>
      <c r="G40" s="7">
        <v>10</v>
      </c>
      <c r="H40" s="7">
        <v>9</v>
      </c>
      <c r="I40" s="7">
        <v>300</v>
      </c>
    </row>
    <row r="41" spans="1:9">
      <c r="A41" s="7" t="s">
        <v>530</v>
      </c>
      <c r="B41" s="7" t="s">
        <v>1131</v>
      </c>
      <c r="C41" s="7" t="s">
        <v>486</v>
      </c>
      <c r="D41" s="7" t="s">
        <v>28</v>
      </c>
      <c r="E41" s="7" t="s">
        <v>89</v>
      </c>
      <c r="F41" s="7">
        <v>40</v>
      </c>
      <c r="G41" s="7">
        <v>18</v>
      </c>
      <c r="H41" s="7">
        <v>15</v>
      </c>
      <c r="I41" s="7">
        <v>40</v>
      </c>
    </row>
    <row r="42" spans="1:9">
      <c r="A42" s="7" t="s">
        <v>531</v>
      </c>
      <c r="B42" s="7" t="s">
        <v>1132</v>
      </c>
      <c r="C42" s="7" t="s">
        <v>486</v>
      </c>
      <c r="D42" s="7" t="s">
        <v>28</v>
      </c>
      <c r="E42" s="7" t="s">
        <v>89</v>
      </c>
      <c r="F42" s="7">
        <v>9</v>
      </c>
      <c r="G42" s="7">
        <v>9</v>
      </c>
      <c r="H42" s="7">
        <v>7</v>
      </c>
      <c r="I42" s="7">
        <v>968</v>
      </c>
    </row>
    <row r="43" spans="1:9">
      <c r="A43" s="7" t="s">
        <v>532</v>
      </c>
      <c r="B43" s="7" t="s">
        <v>1133</v>
      </c>
      <c r="C43" s="7" t="s">
        <v>486</v>
      </c>
      <c r="D43" s="7" t="s">
        <v>29</v>
      </c>
      <c r="E43" s="7" t="s">
        <v>495</v>
      </c>
      <c r="F43" s="7">
        <v>100</v>
      </c>
      <c r="G43" s="7">
        <v>20</v>
      </c>
      <c r="H43" s="7">
        <v>10</v>
      </c>
      <c r="I43" s="7">
        <v>20</v>
      </c>
    </row>
    <row r="44" spans="1:9">
      <c r="A44" s="7" t="s">
        <v>533</v>
      </c>
      <c r="B44" s="7" t="s">
        <v>1134</v>
      </c>
      <c r="C44" s="7" t="s">
        <v>486</v>
      </c>
      <c r="D44" s="7" t="s">
        <v>29</v>
      </c>
      <c r="E44" s="7" t="s">
        <v>495</v>
      </c>
      <c r="F44" s="7">
        <v>100</v>
      </c>
      <c r="G44" s="7">
        <v>20</v>
      </c>
      <c r="H44" s="7">
        <v>6</v>
      </c>
      <c r="I44" s="7">
        <v>30</v>
      </c>
    </row>
    <row r="45" spans="1:9">
      <c r="A45" s="7" t="s">
        <v>534</v>
      </c>
      <c r="B45" s="7" t="s">
        <v>1135</v>
      </c>
      <c r="C45" s="7" t="s">
        <v>486</v>
      </c>
      <c r="D45" s="7" t="s">
        <v>29</v>
      </c>
      <c r="E45" s="7" t="s">
        <v>495</v>
      </c>
      <c r="F45" s="7">
        <v>100</v>
      </c>
      <c r="G45" s="7">
        <v>25</v>
      </c>
      <c r="H45" s="7">
        <v>10</v>
      </c>
      <c r="I45" s="7">
        <v>18</v>
      </c>
    </row>
    <row r="46" spans="1:9">
      <c r="A46" s="7" t="s">
        <v>535</v>
      </c>
      <c r="B46" s="7" t="s">
        <v>1136</v>
      </c>
      <c r="C46" s="7" t="s">
        <v>486</v>
      </c>
      <c r="D46" s="7" t="s">
        <v>29</v>
      </c>
      <c r="E46" s="7" t="s">
        <v>495</v>
      </c>
      <c r="F46" s="7">
        <v>100</v>
      </c>
      <c r="G46" s="7">
        <v>25</v>
      </c>
      <c r="H46" s="7">
        <v>6</v>
      </c>
      <c r="I46" s="7">
        <v>30</v>
      </c>
    </row>
    <row r="47" spans="1:9">
      <c r="A47" s="7" t="s">
        <v>536</v>
      </c>
      <c r="B47" s="7" t="s">
        <v>1137</v>
      </c>
      <c r="C47" s="7" t="s">
        <v>486</v>
      </c>
      <c r="D47" s="7" t="s">
        <v>29</v>
      </c>
      <c r="E47" s="7" t="s">
        <v>495</v>
      </c>
      <c r="F47" s="7">
        <v>100</v>
      </c>
      <c r="G47" s="7">
        <v>25</v>
      </c>
      <c r="H47" s="7">
        <v>7</v>
      </c>
      <c r="I47" s="7">
        <v>26</v>
      </c>
    </row>
    <row r="48" spans="1:9">
      <c r="A48" s="7" t="s">
        <v>537</v>
      </c>
      <c r="B48" s="7" t="s">
        <v>1138</v>
      </c>
      <c r="C48" s="7" t="s">
        <v>486</v>
      </c>
      <c r="D48" s="7" t="s">
        <v>29</v>
      </c>
      <c r="E48" s="7" t="s">
        <v>495</v>
      </c>
      <c r="F48" s="7">
        <v>100</v>
      </c>
      <c r="G48" s="7">
        <v>25</v>
      </c>
      <c r="H48" s="7">
        <v>8</v>
      </c>
      <c r="I48" s="7">
        <v>20</v>
      </c>
    </row>
    <row r="49" spans="1:9">
      <c r="A49" s="7" t="s">
        <v>538</v>
      </c>
      <c r="B49" s="7" t="s">
        <v>1139</v>
      </c>
      <c r="C49" s="7" t="s">
        <v>486</v>
      </c>
      <c r="D49" s="7" t="s">
        <v>29</v>
      </c>
      <c r="E49" s="7" t="s">
        <v>495</v>
      </c>
      <c r="F49" s="7">
        <v>100</v>
      </c>
      <c r="G49" s="7">
        <v>25</v>
      </c>
      <c r="H49" s="7">
        <v>8</v>
      </c>
      <c r="I49" s="7">
        <v>24</v>
      </c>
    </row>
    <row r="50" spans="1:9">
      <c r="A50" s="7" t="s">
        <v>539</v>
      </c>
      <c r="B50" s="7" t="s">
        <v>1140</v>
      </c>
      <c r="C50" s="7" t="s">
        <v>486</v>
      </c>
      <c r="D50" s="7" t="s">
        <v>29</v>
      </c>
      <c r="E50" s="7" t="s">
        <v>495</v>
      </c>
      <c r="F50" s="7">
        <v>100</v>
      </c>
      <c r="G50" s="7">
        <v>30</v>
      </c>
      <c r="H50" s="7">
        <v>7</v>
      </c>
      <c r="I50" s="7">
        <v>20</v>
      </c>
    </row>
    <row r="51" spans="1:9">
      <c r="A51" s="7" t="s">
        <v>540</v>
      </c>
      <c r="B51" s="7" t="s">
        <v>1141</v>
      </c>
      <c r="C51" s="7" t="s">
        <v>486</v>
      </c>
      <c r="D51" s="7" t="s">
        <v>29</v>
      </c>
      <c r="E51" s="7" t="s">
        <v>495</v>
      </c>
      <c r="F51" s="7">
        <v>100</v>
      </c>
      <c r="G51" s="7">
        <v>30</v>
      </c>
      <c r="H51" s="7">
        <v>8</v>
      </c>
      <c r="I51" s="7">
        <v>20</v>
      </c>
    </row>
    <row r="52" spans="1:9">
      <c r="A52" s="7" t="s">
        <v>541</v>
      </c>
      <c r="B52" s="7" t="s">
        <v>1142</v>
      </c>
      <c r="C52" s="7" t="s">
        <v>486</v>
      </c>
      <c r="D52" s="7" t="s">
        <v>29</v>
      </c>
      <c r="E52" s="7" t="s">
        <v>495</v>
      </c>
      <c r="F52" s="7">
        <v>100</v>
      </c>
      <c r="G52" s="7">
        <v>40</v>
      </c>
      <c r="H52" s="7">
        <v>10</v>
      </c>
      <c r="I52" s="7">
        <v>2</v>
      </c>
    </row>
    <row r="53" spans="1:9">
      <c r="A53" s="7" t="s">
        <v>542</v>
      </c>
      <c r="B53" s="7" t="s">
        <v>1143</v>
      </c>
      <c r="C53" s="7" t="s">
        <v>486</v>
      </c>
      <c r="D53" s="7" t="s">
        <v>29</v>
      </c>
      <c r="E53" s="7" t="s">
        <v>495</v>
      </c>
      <c r="F53" s="7">
        <v>100</v>
      </c>
      <c r="G53" s="7">
        <v>50</v>
      </c>
      <c r="H53" s="7">
        <v>8</v>
      </c>
      <c r="I53" s="7">
        <v>9</v>
      </c>
    </row>
    <row r="54" spans="1:9">
      <c r="A54" s="7" t="s">
        <v>543</v>
      </c>
      <c r="B54" s="7" t="s">
        <v>1144</v>
      </c>
      <c r="C54" s="7" t="s">
        <v>486</v>
      </c>
      <c r="D54" s="7" t="s">
        <v>29</v>
      </c>
      <c r="E54" s="7" t="s">
        <v>495</v>
      </c>
      <c r="F54" s="7">
        <v>125</v>
      </c>
      <c r="G54" s="7">
        <v>25</v>
      </c>
      <c r="H54" s="7">
        <v>8</v>
      </c>
      <c r="I54" s="7">
        <v>18</v>
      </c>
    </row>
    <row r="55" spans="1:9">
      <c r="A55" s="7" t="s">
        <v>544</v>
      </c>
      <c r="B55" s="7" t="s">
        <v>1145</v>
      </c>
      <c r="C55" s="7" t="s">
        <v>486</v>
      </c>
      <c r="D55" s="7" t="s">
        <v>29</v>
      </c>
      <c r="E55" s="7" t="s">
        <v>495</v>
      </c>
      <c r="F55" s="7">
        <v>150</v>
      </c>
      <c r="G55" s="7">
        <v>25</v>
      </c>
      <c r="H55" s="7">
        <v>10</v>
      </c>
      <c r="I55" s="7">
        <v>12</v>
      </c>
    </row>
    <row r="56" spans="1:9">
      <c r="A56" s="7" t="s">
        <v>545</v>
      </c>
      <c r="B56" s="7" t="s">
        <v>1146</v>
      </c>
      <c r="C56" s="7" t="s">
        <v>486</v>
      </c>
      <c r="D56" s="7" t="s">
        <v>29</v>
      </c>
      <c r="E56" s="7" t="s">
        <v>495</v>
      </c>
      <c r="F56" s="7">
        <v>150</v>
      </c>
      <c r="G56" s="7">
        <v>25</v>
      </c>
      <c r="H56" s="7">
        <v>8</v>
      </c>
      <c r="I56" s="7">
        <v>14</v>
      </c>
    </row>
    <row r="57" spans="1:9">
      <c r="A57" s="7" t="s">
        <v>546</v>
      </c>
      <c r="B57" s="7" t="s">
        <v>1147</v>
      </c>
      <c r="C57" s="7" t="s">
        <v>486</v>
      </c>
      <c r="D57" s="7" t="s">
        <v>29</v>
      </c>
      <c r="E57" s="7" t="s">
        <v>495</v>
      </c>
      <c r="F57" s="7">
        <v>150</v>
      </c>
      <c r="G57" s="7">
        <v>25</v>
      </c>
      <c r="H57" s="7">
        <v>8</v>
      </c>
      <c r="I57" s="7">
        <v>16</v>
      </c>
    </row>
    <row r="58" spans="1:9">
      <c r="A58" s="7" t="s">
        <v>547</v>
      </c>
      <c r="B58" s="7" t="s">
        <v>1148</v>
      </c>
      <c r="C58" s="7" t="s">
        <v>486</v>
      </c>
      <c r="D58" s="7" t="s">
        <v>29</v>
      </c>
      <c r="E58" s="7" t="s">
        <v>495</v>
      </c>
      <c r="F58" s="7">
        <v>150</v>
      </c>
      <c r="G58" s="7">
        <v>50</v>
      </c>
      <c r="H58" s="7">
        <v>8</v>
      </c>
      <c r="I58" s="7">
        <v>8</v>
      </c>
    </row>
    <row r="59" spans="1:9">
      <c r="A59" s="7" t="s">
        <v>548</v>
      </c>
      <c r="B59" s="7" t="s">
        <v>1149</v>
      </c>
      <c r="C59" s="7" t="s">
        <v>486</v>
      </c>
      <c r="D59" s="7" t="s">
        <v>29</v>
      </c>
      <c r="E59" s="7" t="s">
        <v>495</v>
      </c>
      <c r="F59" s="7">
        <v>200</v>
      </c>
      <c r="G59" s="7">
        <v>25</v>
      </c>
      <c r="H59" s="7">
        <v>8</v>
      </c>
      <c r="I59" s="7">
        <v>10</v>
      </c>
    </row>
    <row r="60" spans="1:9">
      <c r="A60" s="7" t="s">
        <v>549</v>
      </c>
      <c r="B60" s="7" t="s">
        <v>1150</v>
      </c>
      <c r="C60" s="7" t="s">
        <v>486</v>
      </c>
      <c r="D60" s="7" t="s">
        <v>29</v>
      </c>
      <c r="E60" s="7" t="s">
        <v>495</v>
      </c>
      <c r="F60" s="7">
        <v>200</v>
      </c>
      <c r="G60" s="7">
        <v>25</v>
      </c>
      <c r="H60" s="7">
        <v>8</v>
      </c>
      <c r="I60" s="7">
        <v>12</v>
      </c>
    </row>
    <row r="61" spans="1:9">
      <c r="A61" s="7" t="s">
        <v>550</v>
      </c>
      <c r="B61" s="7" t="s">
        <v>1151</v>
      </c>
      <c r="C61" s="7" t="s">
        <v>486</v>
      </c>
      <c r="D61" s="7" t="s">
        <v>29</v>
      </c>
      <c r="E61" s="7" t="s">
        <v>495</v>
      </c>
      <c r="F61" s="7">
        <v>220</v>
      </c>
      <c r="G61" s="7">
        <v>50</v>
      </c>
      <c r="H61" s="7">
        <v>8</v>
      </c>
      <c r="I61" s="7">
        <v>6</v>
      </c>
    </row>
    <row r="62" spans="1:9">
      <c r="A62" s="7" t="s">
        <v>551</v>
      </c>
      <c r="B62" s="7" t="s">
        <v>1152</v>
      </c>
      <c r="C62" s="7" t="s">
        <v>486</v>
      </c>
      <c r="D62" s="7" t="s">
        <v>29</v>
      </c>
      <c r="E62" s="7" t="s">
        <v>495</v>
      </c>
      <c r="F62" s="7">
        <v>25</v>
      </c>
      <c r="G62" s="7">
        <v>25</v>
      </c>
      <c r="H62" s="7">
        <v>8</v>
      </c>
      <c r="I62" s="7">
        <v>96</v>
      </c>
    </row>
    <row r="63" spans="1:9">
      <c r="A63" s="7" t="s">
        <v>552</v>
      </c>
      <c r="B63" s="7" t="s">
        <v>1153</v>
      </c>
      <c r="C63" s="7" t="s">
        <v>486</v>
      </c>
      <c r="D63" s="7" t="s">
        <v>29</v>
      </c>
      <c r="E63" s="7" t="s">
        <v>495</v>
      </c>
      <c r="F63" s="7">
        <v>35</v>
      </c>
      <c r="G63" s="7">
        <v>25</v>
      </c>
      <c r="H63" s="7">
        <v>10</v>
      </c>
      <c r="I63" s="7">
        <v>40</v>
      </c>
    </row>
    <row r="64" spans="1:9">
      <c r="A64" s="7" t="s">
        <v>553</v>
      </c>
      <c r="B64" s="7" t="s">
        <v>1154</v>
      </c>
      <c r="C64" s="7" t="s">
        <v>486</v>
      </c>
      <c r="D64" s="7" t="s">
        <v>29</v>
      </c>
      <c r="E64" s="7" t="s">
        <v>495</v>
      </c>
      <c r="F64" s="7">
        <v>50</v>
      </c>
      <c r="G64" s="7">
        <v>20</v>
      </c>
      <c r="H64" s="7">
        <v>10</v>
      </c>
      <c r="I64" s="7">
        <v>40</v>
      </c>
    </row>
    <row r="65" spans="1:9">
      <c r="A65" s="7" t="s">
        <v>554</v>
      </c>
      <c r="B65" s="7" t="s">
        <v>1155</v>
      </c>
      <c r="C65" s="7" t="s">
        <v>486</v>
      </c>
      <c r="D65" s="7" t="s">
        <v>29</v>
      </c>
      <c r="E65" s="7" t="s">
        <v>495</v>
      </c>
      <c r="F65" s="7">
        <v>50</v>
      </c>
      <c r="G65" s="7">
        <v>25</v>
      </c>
      <c r="H65" s="7">
        <v>10</v>
      </c>
      <c r="I65" s="7">
        <v>36</v>
      </c>
    </row>
    <row r="66" spans="1:9">
      <c r="A66" s="7" t="s">
        <v>555</v>
      </c>
      <c r="B66" s="7" t="s">
        <v>1156</v>
      </c>
      <c r="C66" s="7" t="s">
        <v>486</v>
      </c>
      <c r="D66" s="7" t="s">
        <v>29</v>
      </c>
      <c r="E66" s="7" t="s">
        <v>495</v>
      </c>
      <c r="F66" s="7">
        <v>50</v>
      </c>
      <c r="G66" s="7">
        <v>25</v>
      </c>
      <c r="H66" s="7">
        <v>7</v>
      </c>
      <c r="I66" s="7">
        <v>52</v>
      </c>
    </row>
    <row r="67" spans="1:9">
      <c r="A67" s="7" t="s">
        <v>556</v>
      </c>
      <c r="B67" s="7" t="s">
        <v>1157</v>
      </c>
      <c r="C67" s="7" t="s">
        <v>486</v>
      </c>
      <c r="D67" s="7" t="s">
        <v>29</v>
      </c>
      <c r="E67" s="7" t="s">
        <v>495</v>
      </c>
      <c r="F67" s="7">
        <v>50</v>
      </c>
      <c r="G67" s="7">
        <v>25</v>
      </c>
      <c r="H67" s="7">
        <v>8</v>
      </c>
      <c r="I67" s="7">
        <v>48</v>
      </c>
    </row>
    <row r="68" spans="1:9">
      <c r="A68" s="7" t="s">
        <v>557</v>
      </c>
      <c r="B68" s="7" t="s">
        <v>1158</v>
      </c>
      <c r="C68" s="7" t="s">
        <v>486</v>
      </c>
      <c r="D68" s="7" t="s">
        <v>29</v>
      </c>
      <c r="E68" s="7" t="s">
        <v>495</v>
      </c>
      <c r="F68" s="7">
        <v>60</v>
      </c>
      <c r="G68" s="7">
        <v>20</v>
      </c>
      <c r="H68" s="7">
        <v>6</v>
      </c>
      <c r="I68" s="7">
        <v>48</v>
      </c>
    </row>
    <row r="69" spans="1:9">
      <c r="A69" s="7" t="s">
        <v>558</v>
      </c>
      <c r="B69" s="7" t="s">
        <v>1159</v>
      </c>
      <c r="C69" s="7" t="s">
        <v>486</v>
      </c>
      <c r="D69" s="7" t="s">
        <v>29</v>
      </c>
      <c r="E69" s="7" t="s">
        <v>495</v>
      </c>
      <c r="F69" s="7">
        <v>75</v>
      </c>
      <c r="G69" s="7">
        <v>25</v>
      </c>
      <c r="H69" s="7">
        <v>7</v>
      </c>
      <c r="I69" s="7">
        <v>32</v>
      </c>
    </row>
    <row r="70" spans="1:9">
      <c r="A70" s="7" t="s">
        <v>559</v>
      </c>
      <c r="B70" s="7" t="s">
        <v>1160</v>
      </c>
      <c r="C70" s="7" t="s">
        <v>486</v>
      </c>
      <c r="D70" s="7" t="s">
        <v>29</v>
      </c>
      <c r="E70" s="7" t="s">
        <v>495</v>
      </c>
      <c r="F70" s="7">
        <v>75</v>
      </c>
      <c r="G70" s="7">
        <v>25</v>
      </c>
      <c r="H70" s="7">
        <v>8</v>
      </c>
      <c r="I70" s="7">
        <v>28</v>
      </c>
    </row>
    <row r="71" spans="1:9">
      <c r="A71" s="7" t="s">
        <v>560</v>
      </c>
      <c r="B71" s="7" t="s">
        <v>1161</v>
      </c>
      <c r="C71" s="7" t="s">
        <v>486</v>
      </c>
      <c r="D71" s="7" t="s">
        <v>29</v>
      </c>
      <c r="E71" s="7" t="s">
        <v>89</v>
      </c>
      <c r="F71" s="7">
        <v>100</v>
      </c>
      <c r="G71" s="7">
        <v>16</v>
      </c>
      <c r="H71" s="7">
        <v>16</v>
      </c>
      <c r="I71" s="7">
        <v>17</v>
      </c>
    </row>
    <row r="72" spans="1:9">
      <c r="A72" s="7" t="s">
        <v>561</v>
      </c>
      <c r="B72" s="7" t="s">
        <v>1162</v>
      </c>
      <c r="C72" s="7" t="s">
        <v>486</v>
      </c>
      <c r="D72" s="7" t="s">
        <v>29</v>
      </c>
      <c r="E72" s="7" t="s">
        <v>89</v>
      </c>
      <c r="F72" s="7">
        <v>100</v>
      </c>
      <c r="G72" s="7">
        <v>25</v>
      </c>
      <c r="H72" s="7">
        <v>8</v>
      </c>
      <c r="I72" s="7">
        <v>28</v>
      </c>
    </row>
    <row r="73" spans="1:9">
      <c r="A73" s="7" t="s">
        <v>562</v>
      </c>
      <c r="B73" s="7" t="s">
        <v>1163</v>
      </c>
      <c r="C73" s="7" t="s">
        <v>486</v>
      </c>
      <c r="D73" s="7" t="s">
        <v>29</v>
      </c>
      <c r="E73" s="7" t="s">
        <v>89</v>
      </c>
      <c r="F73" s="7">
        <v>120</v>
      </c>
      <c r="G73" s="7">
        <v>12</v>
      </c>
      <c r="H73" s="7">
        <v>12</v>
      </c>
      <c r="I73" s="7">
        <v>28</v>
      </c>
    </row>
    <row r="74" spans="1:9">
      <c r="A74" s="7" t="s">
        <v>563</v>
      </c>
      <c r="B74" s="7" t="s">
        <v>1164</v>
      </c>
      <c r="C74" s="7" t="s">
        <v>486</v>
      </c>
      <c r="D74" s="7" t="s">
        <v>29</v>
      </c>
      <c r="E74" s="7" t="s">
        <v>89</v>
      </c>
      <c r="F74" s="7">
        <v>40</v>
      </c>
      <c r="G74" s="7">
        <v>12</v>
      </c>
      <c r="H74" s="7">
        <v>12</v>
      </c>
      <c r="I74" s="7">
        <v>90</v>
      </c>
    </row>
    <row r="75" spans="1:9">
      <c r="A75" s="7" t="s">
        <v>564</v>
      </c>
      <c r="B75" s="7" t="s">
        <v>1165</v>
      </c>
      <c r="C75" s="7" t="s">
        <v>486</v>
      </c>
      <c r="D75" s="7" t="s">
        <v>29</v>
      </c>
      <c r="E75" s="7" t="s">
        <v>89</v>
      </c>
      <c r="F75" s="7">
        <v>60</v>
      </c>
      <c r="G75" s="7">
        <v>12</v>
      </c>
      <c r="H75" s="7">
        <v>12</v>
      </c>
      <c r="I75" s="7">
        <v>56</v>
      </c>
    </row>
    <row r="76" spans="1:9">
      <c r="A76" s="7" t="s">
        <v>565</v>
      </c>
      <c r="B76" s="7" t="s">
        <v>1166</v>
      </c>
      <c r="C76" s="7" t="s">
        <v>486</v>
      </c>
      <c r="D76" s="7" t="s">
        <v>29</v>
      </c>
      <c r="E76" s="7" t="s">
        <v>89</v>
      </c>
      <c r="F76" s="7">
        <v>90</v>
      </c>
      <c r="G76" s="7">
        <v>12</v>
      </c>
      <c r="H76" s="7">
        <v>12</v>
      </c>
      <c r="I76" s="7">
        <v>32</v>
      </c>
    </row>
    <row r="77" spans="1:9">
      <c r="A77" s="7" t="s">
        <v>566</v>
      </c>
      <c r="B77" s="7" t="s">
        <v>1167</v>
      </c>
      <c r="C77" s="7" t="s">
        <v>486</v>
      </c>
      <c r="D77" s="7" t="s">
        <v>10</v>
      </c>
      <c r="E77" s="7" t="s">
        <v>495</v>
      </c>
      <c r="F77" s="7">
        <v>100</v>
      </c>
      <c r="G77" s="7">
        <v>20</v>
      </c>
      <c r="H77" s="7">
        <v>6</v>
      </c>
      <c r="I77" s="7">
        <v>16</v>
      </c>
    </row>
    <row r="78" spans="1:9">
      <c r="A78" s="7" t="s">
        <v>567</v>
      </c>
      <c r="B78" s="7" t="s">
        <v>1168</v>
      </c>
      <c r="C78" s="7" t="s">
        <v>486</v>
      </c>
      <c r="D78" s="7" t="s">
        <v>10</v>
      </c>
      <c r="E78" s="7" t="s">
        <v>495</v>
      </c>
      <c r="F78" s="7">
        <v>100</v>
      </c>
      <c r="G78" s="7">
        <v>25</v>
      </c>
      <c r="H78" s="7">
        <v>6</v>
      </c>
      <c r="I78" s="7">
        <v>16</v>
      </c>
    </row>
    <row r="79" spans="1:9">
      <c r="A79" s="7" t="s">
        <v>568</v>
      </c>
      <c r="B79" s="7" t="s">
        <v>1169</v>
      </c>
      <c r="C79" s="7" t="s">
        <v>486</v>
      </c>
      <c r="D79" s="7" t="s">
        <v>10</v>
      </c>
      <c r="E79" s="7" t="s">
        <v>495</v>
      </c>
      <c r="F79" s="7">
        <v>100</v>
      </c>
      <c r="G79" s="7">
        <v>25</v>
      </c>
      <c r="H79" s="7">
        <v>8</v>
      </c>
      <c r="I79" s="7">
        <v>16</v>
      </c>
    </row>
    <row r="80" spans="1:9">
      <c r="A80" s="7" t="s">
        <v>569</v>
      </c>
      <c r="B80" s="7" t="s">
        <v>1170</v>
      </c>
      <c r="C80" s="7" t="s">
        <v>486</v>
      </c>
      <c r="D80" s="7" t="s">
        <v>10</v>
      </c>
      <c r="E80" s="7" t="s">
        <v>495</v>
      </c>
      <c r="F80" s="7">
        <v>125</v>
      </c>
      <c r="G80" s="7">
        <v>25</v>
      </c>
      <c r="H80" s="7">
        <v>8</v>
      </c>
      <c r="I80" s="7">
        <v>16</v>
      </c>
    </row>
    <row r="81" spans="1:9">
      <c r="A81" s="7" t="s">
        <v>570</v>
      </c>
      <c r="B81" s="7" t="s">
        <v>1171</v>
      </c>
      <c r="C81" s="7" t="s">
        <v>486</v>
      </c>
      <c r="D81" s="7" t="s">
        <v>10</v>
      </c>
      <c r="E81" s="7" t="s">
        <v>495</v>
      </c>
      <c r="F81" s="7">
        <v>150</v>
      </c>
      <c r="G81" s="7">
        <v>25</v>
      </c>
      <c r="H81" s="7">
        <v>8</v>
      </c>
      <c r="I81" s="7">
        <v>16</v>
      </c>
    </row>
    <row r="82" spans="1:9">
      <c r="A82" s="7" t="s">
        <v>571</v>
      </c>
      <c r="B82" s="7" t="s">
        <v>1172</v>
      </c>
      <c r="C82" s="7" t="s">
        <v>486</v>
      </c>
      <c r="D82" s="7" t="s">
        <v>10</v>
      </c>
      <c r="E82" s="7" t="s">
        <v>495</v>
      </c>
      <c r="F82" s="7">
        <v>80</v>
      </c>
      <c r="G82" s="7">
        <v>40</v>
      </c>
      <c r="H82" s="7">
        <v>4</v>
      </c>
      <c r="I82" s="7">
        <v>20</v>
      </c>
    </row>
    <row r="83" spans="1:9">
      <c r="A83" s="7" t="s">
        <v>572</v>
      </c>
      <c r="B83" s="7" t="s">
        <v>1173</v>
      </c>
      <c r="C83" s="7" t="s">
        <v>486</v>
      </c>
      <c r="D83" s="7" t="s">
        <v>10</v>
      </c>
      <c r="E83" s="7" t="s">
        <v>517</v>
      </c>
      <c r="F83" s="7" t="s">
        <v>464</v>
      </c>
      <c r="G83" s="7">
        <v>12</v>
      </c>
      <c r="H83" s="7">
        <v>6</v>
      </c>
      <c r="I83" s="7">
        <v>192</v>
      </c>
    </row>
    <row r="84" spans="1:9">
      <c r="A84" s="7" t="s">
        <v>573</v>
      </c>
      <c r="B84" s="7" t="s">
        <v>1174</v>
      </c>
      <c r="C84" s="7" t="s">
        <v>486</v>
      </c>
      <c r="D84" s="7" t="s">
        <v>10</v>
      </c>
      <c r="E84" s="7" t="s">
        <v>574</v>
      </c>
      <c r="F84" s="7">
        <v>15</v>
      </c>
      <c r="G84" s="7">
        <v>15</v>
      </c>
      <c r="H84" s="7">
        <v>1.2</v>
      </c>
      <c r="I84" s="7">
        <v>250</v>
      </c>
    </row>
    <row r="85" spans="1:9">
      <c r="A85" s="7" t="s">
        <v>575</v>
      </c>
      <c r="B85" s="7" t="s">
        <v>1175</v>
      </c>
      <c r="C85" s="7" t="s">
        <v>486</v>
      </c>
      <c r="D85" s="7" t="s">
        <v>10</v>
      </c>
      <c r="E85" s="7" t="s">
        <v>517</v>
      </c>
      <c r="F85" s="7">
        <v>20</v>
      </c>
      <c r="G85" s="7">
        <v>10</v>
      </c>
      <c r="H85" s="7">
        <v>3</v>
      </c>
      <c r="I85" s="7">
        <v>660</v>
      </c>
    </row>
    <row r="86" spans="1:9">
      <c r="A86" s="7" t="s">
        <v>576</v>
      </c>
      <c r="B86" s="7" t="s">
        <v>1176</v>
      </c>
      <c r="C86" s="7" t="s">
        <v>486</v>
      </c>
      <c r="D86" s="7" t="s">
        <v>10</v>
      </c>
      <c r="E86" s="7" t="s">
        <v>517</v>
      </c>
      <c r="F86" s="7">
        <v>35</v>
      </c>
      <c r="G86" s="7">
        <v>15</v>
      </c>
      <c r="H86" s="7">
        <v>6</v>
      </c>
      <c r="I86" s="7">
        <v>128</v>
      </c>
    </row>
    <row r="87" spans="1:9">
      <c r="A87" s="7" t="s">
        <v>577</v>
      </c>
      <c r="B87" s="7" t="s">
        <v>1177</v>
      </c>
      <c r="C87" s="7" t="s">
        <v>486</v>
      </c>
      <c r="D87" s="7" t="s">
        <v>10</v>
      </c>
      <c r="E87" s="7" t="s">
        <v>517</v>
      </c>
      <c r="F87" s="7">
        <v>60</v>
      </c>
      <c r="G87" s="7">
        <v>30</v>
      </c>
      <c r="H87" s="7">
        <v>3</v>
      </c>
      <c r="I87" s="7">
        <v>68</v>
      </c>
    </row>
    <row r="88" spans="1:9">
      <c r="A88" s="7" t="s">
        <v>578</v>
      </c>
      <c r="B88" s="7" t="s">
        <v>1178</v>
      </c>
      <c r="C88" s="7" t="s">
        <v>486</v>
      </c>
      <c r="D88" s="7" t="s">
        <v>10</v>
      </c>
      <c r="E88" s="7" t="s">
        <v>517</v>
      </c>
      <c r="F88" s="7">
        <v>60</v>
      </c>
      <c r="G88" s="7">
        <v>40</v>
      </c>
      <c r="H88" s="7">
        <v>3</v>
      </c>
      <c r="I88" s="7">
        <v>34</v>
      </c>
    </row>
    <row r="89" spans="1:9">
      <c r="A89" s="7" t="s">
        <v>579</v>
      </c>
      <c r="B89" s="7" t="s">
        <v>1179</v>
      </c>
      <c r="C89" s="7" t="s">
        <v>486</v>
      </c>
      <c r="D89" s="7" t="s">
        <v>10</v>
      </c>
      <c r="E89" s="7" t="s">
        <v>580</v>
      </c>
      <c r="F89" s="7">
        <v>60</v>
      </c>
      <c r="G89" s="7">
        <v>60</v>
      </c>
      <c r="H89" s="7">
        <v>3</v>
      </c>
      <c r="I89" s="7">
        <v>34</v>
      </c>
    </row>
    <row r="90" spans="1:9">
      <c r="A90" s="7" t="s">
        <v>581</v>
      </c>
      <c r="B90" s="7" t="s">
        <v>1180</v>
      </c>
      <c r="C90" s="7" t="s">
        <v>486</v>
      </c>
      <c r="D90" s="7" t="s">
        <v>10</v>
      </c>
      <c r="E90" s="7" t="s">
        <v>517</v>
      </c>
      <c r="F90" s="7">
        <v>80</v>
      </c>
      <c r="G90" s="7">
        <v>30</v>
      </c>
      <c r="H90" s="7">
        <v>3</v>
      </c>
      <c r="I90" s="7">
        <v>34</v>
      </c>
    </row>
    <row r="91" spans="1:9">
      <c r="A91" s="7" t="s">
        <v>582</v>
      </c>
      <c r="B91" s="7" t="s">
        <v>1181</v>
      </c>
      <c r="C91" s="7" t="s">
        <v>486</v>
      </c>
      <c r="D91" s="7" t="s">
        <v>10</v>
      </c>
      <c r="E91" s="7" t="s">
        <v>517</v>
      </c>
      <c r="F91" s="7">
        <v>80</v>
      </c>
      <c r="G91" s="7">
        <v>40</v>
      </c>
      <c r="H91" s="7">
        <v>3</v>
      </c>
      <c r="I91" s="7">
        <v>34</v>
      </c>
    </row>
    <row r="92" spans="1:9">
      <c r="A92" s="7" t="s">
        <v>583</v>
      </c>
      <c r="B92" s="7" t="s">
        <v>1182</v>
      </c>
      <c r="C92" s="7" t="s">
        <v>486</v>
      </c>
      <c r="D92" s="7" t="s">
        <v>10</v>
      </c>
      <c r="E92" s="7" t="s">
        <v>517</v>
      </c>
      <c r="F92" s="7">
        <v>90</v>
      </c>
      <c r="G92" s="7">
        <v>45</v>
      </c>
      <c r="H92" s="7">
        <v>3</v>
      </c>
      <c r="I92" s="7">
        <v>30</v>
      </c>
    </row>
    <row r="93" spans="1:9">
      <c r="A93" s="7" t="s">
        <v>584</v>
      </c>
      <c r="B93" s="7" t="s">
        <v>1183</v>
      </c>
      <c r="C93" s="7" t="s">
        <v>486</v>
      </c>
      <c r="D93" s="7" t="s">
        <v>10</v>
      </c>
      <c r="E93" s="7" t="s">
        <v>517</v>
      </c>
      <c r="F93" s="7">
        <v>90</v>
      </c>
      <c r="G93" s="7">
        <v>60</v>
      </c>
      <c r="H93" s="7">
        <v>3</v>
      </c>
      <c r="I93" s="7">
        <v>20</v>
      </c>
    </row>
    <row r="94" spans="1:9">
      <c r="A94" s="7" t="s">
        <v>585</v>
      </c>
      <c r="B94" s="7" t="s">
        <v>1184</v>
      </c>
      <c r="C94" s="7" t="s">
        <v>486</v>
      </c>
      <c r="D94" s="7" t="s">
        <v>10</v>
      </c>
      <c r="E94" s="7" t="s">
        <v>580</v>
      </c>
      <c r="F94" s="7">
        <v>90</v>
      </c>
      <c r="G94" s="7">
        <v>60</v>
      </c>
      <c r="H94" s="7">
        <v>3</v>
      </c>
      <c r="I94" s="7">
        <v>25</v>
      </c>
    </row>
    <row r="95" spans="1:9">
      <c r="A95" s="7" t="s">
        <v>586</v>
      </c>
      <c r="B95" s="7" t="s">
        <v>1185</v>
      </c>
      <c r="C95" s="7" t="s">
        <v>486</v>
      </c>
      <c r="D95" s="7" t="s">
        <v>30</v>
      </c>
      <c r="E95" s="7" t="s">
        <v>587</v>
      </c>
      <c r="F95" s="7" t="s">
        <v>465</v>
      </c>
      <c r="G95" s="7">
        <v>60</v>
      </c>
      <c r="H95" s="7">
        <v>3</v>
      </c>
      <c r="I95" s="7">
        <v>20</v>
      </c>
    </row>
    <row r="96" spans="1:9">
      <c r="A96" s="7" t="s">
        <v>588</v>
      </c>
      <c r="B96" s="7" t="s">
        <v>1186</v>
      </c>
      <c r="C96" s="7" t="s">
        <v>486</v>
      </c>
      <c r="D96" s="7" t="s">
        <v>30</v>
      </c>
      <c r="E96" s="7" t="s">
        <v>587</v>
      </c>
      <c r="F96" s="7" t="s">
        <v>465</v>
      </c>
      <c r="G96" s="7">
        <v>60</v>
      </c>
      <c r="H96" s="7">
        <v>4</v>
      </c>
      <c r="I96" s="7">
        <v>12</v>
      </c>
    </row>
    <row r="97" spans="1:9">
      <c r="A97" s="7" t="s">
        <v>589</v>
      </c>
      <c r="B97" s="7" t="s">
        <v>1187</v>
      </c>
      <c r="C97" s="7" t="s">
        <v>486</v>
      </c>
      <c r="D97" s="7" t="s">
        <v>30</v>
      </c>
      <c r="E97" s="7" t="s">
        <v>587</v>
      </c>
      <c r="F97" s="7" t="s">
        <v>465</v>
      </c>
      <c r="G97" s="7">
        <v>80</v>
      </c>
      <c r="H97" s="7">
        <v>3</v>
      </c>
      <c r="I97" s="7">
        <v>10</v>
      </c>
    </row>
    <row r="98" spans="1:9">
      <c r="A98" s="7" t="s">
        <v>590</v>
      </c>
      <c r="B98" s="7" t="s">
        <v>1188</v>
      </c>
      <c r="C98" s="7" t="s">
        <v>486</v>
      </c>
      <c r="D98" s="7" t="s">
        <v>30</v>
      </c>
      <c r="E98" s="7" t="s">
        <v>587</v>
      </c>
      <c r="F98" s="7" t="s">
        <v>465</v>
      </c>
      <c r="G98" s="7">
        <v>80</v>
      </c>
      <c r="H98" s="7">
        <v>4</v>
      </c>
      <c r="I98" s="7">
        <v>8</v>
      </c>
    </row>
    <row r="99" spans="1:9">
      <c r="A99" s="7" t="s">
        <v>591</v>
      </c>
      <c r="B99" s="7" t="s">
        <v>1189</v>
      </c>
      <c r="C99" s="7" t="s">
        <v>486</v>
      </c>
      <c r="D99" s="7" t="s">
        <v>30</v>
      </c>
      <c r="E99" s="7" t="s">
        <v>587</v>
      </c>
      <c r="F99" s="7" t="s">
        <v>466</v>
      </c>
      <c r="G99" s="7">
        <v>60</v>
      </c>
      <c r="H99" s="7">
        <v>4</v>
      </c>
      <c r="I99" s="7">
        <v>12</v>
      </c>
    </row>
    <row r="100" spans="1:9">
      <c r="A100" s="7" t="s">
        <v>592</v>
      </c>
      <c r="B100" s="7" t="s">
        <v>1190</v>
      </c>
      <c r="C100" s="7" t="s">
        <v>486</v>
      </c>
      <c r="D100" s="7" t="s">
        <v>30</v>
      </c>
      <c r="E100" s="8" t="s">
        <v>593</v>
      </c>
      <c r="F100" s="7">
        <v>100</v>
      </c>
      <c r="G100" s="7">
        <v>30</v>
      </c>
      <c r="H100" s="7">
        <v>6</v>
      </c>
      <c r="I100" s="7">
        <v>20</v>
      </c>
    </row>
    <row r="101" spans="1:9">
      <c r="A101" s="7" t="s">
        <v>594</v>
      </c>
      <c r="B101" s="7" t="s">
        <v>1191</v>
      </c>
      <c r="C101" s="7" t="s">
        <v>486</v>
      </c>
      <c r="D101" s="7" t="s">
        <v>34</v>
      </c>
      <c r="E101" s="8" t="s">
        <v>595</v>
      </c>
      <c r="F101" s="7">
        <v>75</v>
      </c>
      <c r="G101" s="7">
        <v>30</v>
      </c>
      <c r="H101" s="7">
        <v>4</v>
      </c>
      <c r="I101" s="7">
        <v>30</v>
      </c>
    </row>
    <row r="102" spans="1:9">
      <c r="A102" s="7" t="s">
        <v>596</v>
      </c>
      <c r="B102" s="7" t="s">
        <v>1192</v>
      </c>
      <c r="C102" s="7" t="s">
        <v>486</v>
      </c>
      <c r="D102" s="7" t="s">
        <v>34</v>
      </c>
      <c r="E102" s="8" t="s">
        <v>595</v>
      </c>
      <c r="F102" s="7">
        <v>75</v>
      </c>
      <c r="G102" s="7">
        <v>35</v>
      </c>
      <c r="H102" s="7">
        <v>4</v>
      </c>
      <c r="I102" s="7">
        <v>30</v>
      </c>
    </row>
    <row r="103" spans="1:9">
      <c r="A103" s="7" t="s">
        <v>597</v>
      </c>
      <c r="B103" s="7" t="s">
        <v>1193</v>
      </c>
      <c r="C103" s="7" t="s">
        <v>486</v>
      </c>
      <c r="D103" s="7" t="s">
        <v>34</v>
      </c>
      <c r="E103" s="8" t="s">
        <v>595</v>
      </c>
      <c r="F103" s="7">
        <v>75</v>
      </c>
      <c r="G103" s="7">
        <v>40</v>
      </c>
      <c r="H103" s="7">
        <v>4</v>
      </c>
      <c r="I103" s="7">
        <v>30</v>
      </c>
    </row>
    <row r="104" spans="1:9">
      <c r="A104" s="7" t="s">
        <v>598</v>
      </c>
      <c r="B104" s="7" t="s">
        <v>1194</v>
      </c>
      <c r="C104" s="7" t="s">
        <v>486</v>
      </c>
      <c r="D104" s="7" t="s">
        <v>34</v>
      </c>
      <c r="E104" s="8" t="s">
        <v>599</v>
      </c>
      <c r="F104" s="7">
        <v>100</v>
      </c>
      <c r="G104" s="7">
        <v>26</v>
      </c>
      <c r="H104" s="7">
        <v>5</v>
      </c>
      <c r="I104" s="7">
        <v>20</v>
      </c>
    </row>
    <row r="105" spans="1:9">
      <c r="A105" s="7" t="s">
        <v>600</v>
      </c>
      <c r="B105" s="7" t="s">
        <v>1195</v>
      </c>
      <c r="C105" s="7" t="s">
        <v>486</v>
      </c>
      <c r="D105" s="7" t="s">
        <v>34</v>
      </c>
      <c r="E105" s="8" t="s">
        <v>601</v>
      </c>
      <c r="F105" s="7">
        <v>100</v>
      </c>
      <c r="G105" s="7">
        <v>30</v>
      </c>
      <c r="H105" s="7">
        <v>4</v>
      </c>
      <c r="I105" s="7">
        <v>25</v>
      </c>
    </row>
    <row r="106" spans="1:9">
      <c r="A106" s="7" t="s">
        <v>602</v>
      </c>
      <c r="B106" s="7" t="s">
        <v>1196</v>
      </c>
      <c r="C106" s="7" t="s">
        <v>486</v>
      </c>
      <c r="D106" s="7" t="s">
        <v>34</v>
      </c>
      <c r="E106" s="8" t="s">
        <v>603</v>
      </c>
      <c r="F106" s="7">
        <v>100</v>
      </c>
      <c r="G106" s="7">
        <v>25</v>
      </c>
      <c r="H106" s="7">
        <v>4</v>
      </c>
      <c r="I106" s="7">
        <v>25</v>
      </c>
    </row>
    <row r="107" spans="1:9">
      <c r="A107" s="7" t="s">
        <v>604</v>
      </c>
      <c r="B107" s="7" t="s">
        <v>1197</v>
      </c>
      <c r="C107" s="7" t="s">
        <v>486</v>
      </c>
      <c r="D107" s="7" t="s">
        <v>34</v>
      </c>
      <c r="E107" s="8" t="s">
        <v>605</v>
      </c>
      <c r="F107" s="7">
        <v>100</v>
      </c>
      <c r="G107" s="7">
        <v>30</v>
      </c>
      <c r="H107" s="7">
        <v>3</v>
      </c>
      <c r="I107" s="7">
        <v>35</v>
      </c>
    </row>
    <row r="108" spans="1:9">
      <c r="A108" s="7" t="s">
        <v>606</v>
      </c>
      <c r="B108" s="7" t="s">
        <v>1198</v>
      </c>
      <c r="C108" s="7" t="s">
        <v>486</v>
      </c>
      <c r="D108" s="7" t="s">
        <v>34</v>
      </c>
      <c r="E108" s="8" t="s">
        <v>603</v>
      </c>
      <c r="F108" s="7">
        <v>100</v>
      </c>
      <c r="G108" s="7">
        <v>30</v>
      </c>
      <c r="H108" s="7">
        <v>4</v>
      </c>
      <c r="I108" s="7">
        <v>25</v>
      </c>
    </row>
    <row r="109" spans="1:9">
      <c r="A109" s="7" t="s">
        <v>607</v>
      </c>
      <c r="B109" s="7" t="s">
        <v>1199</v>
      </c>
      <c r="C109" s="7" t="s">
        <v>486</v>
      </c>
      <c r="D109" s="7" t="s">
        <v>34</v>
      </c>
      <c r="E109" s="8" t="s">
        <v>605</v>
      </c>
      <c r="F109" s="7">
        <v>100</v>
      </c>
      <c r="G109" s="7">
        <v>35</v>
      </c>
      <c r="H109" s="7">
        <v>3</v>
      </c>
      <c r="I109" s="7">
        <v>30</v>
      </c>
    </row>
    <row r="110" spans="1:9">
      <c r="A110" s="7" t="s">
        <v>608</v>
      </c>
      <c r="B110" s="7" t="s">
        <v>1200</v>
      </c>
      <c r="C110" s="7" t="s">
        <v>486</v>
      </c>
      <c r="D110" s="7" t="s">
        <v>34</v>
      </c>
      <c r="E110" s="8" t="s">
        <v>603</v>
      </c>
      <c r="F110" s="7">
        <v>100</v>
      </c>
      <c r="G110" s="7">
        <v>35</v>
      </c>
      <c r="H110" s="7">
        <v>4</v>
      </c>
      <c r="I110" s="7">
        <v>25</v>
      </c>
    </row>
    <row r="111" spans="1:9">
      <c r="A111" s="7" t="s">
        <v>609</v>
      </c>
      <c r="B111" s="7" t="s">
        <v>1201</v>
      </c>
      <c r="C111" s="7" t="s">
        <v>486</v>
      </c>
      <c r="D111" s="7" t="s">
        <v>34</v>
      </c>
      <c r="E111" s="8" t="s">
        <v>603</v>
      </c>
      <c r="F111" s="7">
        <v>100</v>
      </c>
      <c r="G111" s="7">
        <v>40</v>
      </c>
      <c r="H111" s="7">
        <v>4</v>
      </c>
      <c r="I111" s="7">
        <v>25</v>
      </c>
    </row>
    <row r="112" spans="1:9">
      <c r="A112" s="7" t="s">
        <v>610</v>
      </c>
      <c r="B112" s="7" t="s">
        <v>1202</v>
      </c>
      <c r="C112" s="7" t="s">
        <v>486</v>
      </c>
      <c r="D112" s="7" t="s">
        <v>34</v>
      </c>
      <c r="E112" s="7" t="s">
        <v>611</v>
      </c>
      <c r="F112" s="7">
        <v>50</v>
      </c>
      <c r="G112" s="7">
        <v>50</v>
      </c>
      <c r="H112" s="7">
        <v>4</v>
      </c>
      <c r="I112" s="7">
        <v>1</v>
      </c>
    </row>
    <row r="113" spans="1:9">
      <c r="A113" s="7" t="s">
        <v>612</v>
      </c>
      <c r="B113" s="7" t="s">
        <v>1203</v>
      </c>
      <c r="C113" s="7" t="s">
        <v>486</v>
      </c>
      <c r="D113" s="7" t="s">
        <v>34</v>
      </c>
      <c r="E113" s="7" t="s">
        <v>613</v>
      </c>
      <c r="F113" s="7">
        <v>50</v>
      </c>
      <c r="G113" s="7">
        <v>35</v>
      </c>
      <c r="H113" s="7">
        <v>4</v>
      </c>
      <c r="I113" s="7">
        <v>50</v>
      </c>
    </row>
    <row r="114" spans="1:9">
      <c r="A114" s="7" t="s">
        <v>614</v>
      </c>
      <c r="B114" s="7" t="s">
        <v>1204</v>
      </c>
      <c r="C114" s="7" t="s">
        <v>486</v>
      </c>
      <c r="D114" s="7" t="s">
        <v>34</v>
      </c>
      <c r="E114" s="8" t="s">
        <v>615</v>
      </c>
      <c r="F114" s="7">
        <v>60</v>
      </c>
      <c r="G114" s="7">
        <v>30</v>
      </c>
      <c r="H114" s="7">
        <v>3</v>
      </c>
      <c r="I114" s="7">
        <v>68</v>
      </c>
    </row>
    <row r="115" spans="1:9">
      <c r="A115" s="7" t="s">
        <v>616</v>
      </c>
      <c r="B115" s="7" t="s">
        <v>1205</v>
      </c>
      <c r="C115" s="7" t="s">
        <v>486</v>
      </c>
      <c r="D115" s="7" t="s">
        <v>34</v>
      </c>
      <c r="E115" s="8" t="s">
        <v>615</v>
      </c>
      <c r="F115" s="7">
        <v>60</v>
      </c>
      <c r="G115" s="7">
        <v>35</v>
      </c>
      <c r="H115" s="7">
        <v>3</v>
      </c>
      <c r="I115" s="7">
        <v>34</v>
      </c>
    </row>
    <row r="116" spans="1:9">
      <c r="A116" s="7" t="s">
        <v>617</v>
      </c>
      <c r="B116" s="7" t="s">
        <v>1206</v>
      </c>
      <c r="C116" s="7" t="s">
        <v>486</v>
      </c>
      <c r="D116" s="7" t="s">
        <v>31</v>
      </c>
      <c r="E116" s="7" t="s">
        <v>487</v>
      </c>
      <c r="F116" s="7">
        <v>90</v>
      </c>
      <c r="G116" s="7">
        <v>45</v>
      </c>
      <c r="H116" s="7">
        <v>3</v>
      </c>
      <c r="I116" s="7">
        <v>26</v>
      </c>
    </row>
    <row r="117" spans="1:9">
      <c r="A117" s="7" t="s">
        <v>618</v>
      </c>
      <c r="B117" s="7" t="s">
        <v>1207</v>
      </c>
      <c r="C117" s="7" t="s">
        <v>486</v>
      </c>
      <c r="D117" s="7" t="s">
        <v>31</v>
      </c>
      <c r="E117" s="7" t="s">
        <v>619</v>
      </c>
      <c r="F117" s="7">
        <v>120</v>
      </c>
      <c r="G117" s="7">
        <v>35</v>
      </c>
      <c r="H117" s="7">
        <v>3</v>
      </c>
      <c r="I117" s="7">
        <v>25</v>
      </c>
    </row>
    <row r="118" spans="1:9">
      <c r="A118" s="7" t="s">
        <v>620</v>
      </c>
      <c r="B118" s="7" t="s">
        <v>1208</v>
      </c>
      <c r="C118" s="7" t="s">
        <v>486</v>
      </c>
      <c r="D118" s="7" t="s">
        <v>31</v>
      </c>
      <c r="E118" s="7" t="s">
        <v>619</v>
      </c>
      <c r="F118" s="7">
        <v>150</v>
      </c>
      <c r="G118" s="7">
        <v>35</v>
      </c>
      <c r="H118" s="7">
        <v>3</v>
      </c>
      <c r="I118" s="7">
        <v>22</v>
      </c>
    </row>
    <row r="119" spans="1:9">
      <c r="A119" s="7" t="s">
        <v>621</v>
      </c>
      <c r="B119" s="7" t="s">
        <v>1209</v>
      </c>
      <c r="C119" s="7" t="s">
        <v>486</v>
      </c>
      <c r="D119" s="7" t="s">
        <v>31</v>
      </c>
      <c r="E119" s="7" t="s">
        <v>619</v>
      </c>
      <c r="F119" s="7">
        <v>200</v>
      </c>
      <c r="G119" s="7">
        <v>35</v>
      </c>
      <c r="H119" s="7">
        <v>3</v>
      </c>
      <c r="I119" s="7">
        <v>20</v>
      </c>
    </row>
    <row r="120" spans="1:9">
      <c r="A120" s="7" t="s">
        <v>622</v>
      </c>
      <c r="B120" s="7" t="s">
        <v>1210</v>
      </c>
      <c r="C120" s="7" t="s">
        <v>486</v>
      </c>
      <c r="D120" s="7" t="s">
        <v>31</v>
      </c>
      <c r="E120" s="7" t="s">
        <v>623</v>
      </c>
      <c r="F120" s="7">
        <v>120</v>
      </c>
      <c r="G120" s="7">
        <v>14.5</v>
      </c>
      <c r="H120" s="7">
        <v>3</v>
      </c>
      <c r="I120" s="7">
        <v>50</v>
      </c>
    </row>
    <row r="121" spans="1:9">
      <c r="A121" s="7" t="s">
        <v>624</v>
      </c>
      <c r="B121" s="7" t="s">
        <v>1211</v>
      </c>
      <c r="C121" s="7" t="s">
        <v>486</v>
      </c>
      <c r="D121" s="7" t="s">
        <v>31</v>
      </c>
      <c r="E121" s="7" t="s">
        <v>623</v>
      </c>
      <c r="F121" s="7">
        <v>150</v>
      </c>
      <c r="G121" s="7">
        <v>14.5</v>
      </c>
      <c r="H121" s="7">
        <v>3</v>
      </c>
      <c r="I121" s="7">
        <v>44</v>
      </c>
    </row>
    <row r="122" spans="1:9">
      <c r="A122" s="7" t="s">
        <v>625</v>
      </c>
      <c r="B122" s="7" t="s">
        <v>1212</v>
      </c>
      <c r="C122" s="7" t="s">
        <v>486</v>
      </c>
      <c r="D122" s="7" t="s">
        <v>31</v>
      </c>
      <c r="E122" s="7" t="s">
        <v>623</v>
      </c>
      <c r="F122" s="7">
        <v>200</v>
      </c>
      <c r="G122" s="7">
        <v>14.5</v>
      </c>
      <c r="H122" s="7">
        <v>3</v>
      </c>
      <c r="I122" s="7">
        <v>50</v>
      </c>
    </row>
    <row r="123" spans="1:9">
      <c r="A123" s="7" t="s">
        <v>626</v>
      </c>
      <c r="B123" s="7" t="s">
        <v>1213</v>
      </c>
      <c r="C123" s="7" t="s">
        <v>486</v>
      </c>
      <c r="D123" s="7" t="s">
        <v>33</v>
      </c>
      <c r="E123" s="7" t="s">
        <v>627</v>
      </c>
      <c r="F123" s="7">
        <v>100</v>
      </c>
      <c r="G123" s="7">
        <v>20</v>
      </c>
      <c r="H123" s="7">
        <v>5</v>
      </c>
      <c r="I123" s="7">
        <v>36</v>
      </c>
    </row>
    <row r="124" spans="1:9">
      <c r="A124" s="7" t="s">
        <v>628</v>
      </c>
      <c r="B124" s="7" t="s">
        <v>1214</v>
      </c>
      <c r="C124" s="7" t="s">
        <v>486</v>
      </c>
      <c r="D124" s="7" t="s">
        <v>33</v>
      </c>
      <c r="E124" s="8" t="s">
        <v>629</v>
      </c>
      <c r="F124" s="7">
        <v>20</v>
      </c>
      <c r="G124" s="7">
        <v>35</v>
      </c>
      <c r="H124" s="7">
        <v>15</v>
      </c>
      <c r="I124" s="7">
        <v>40</v>
      </c>
    </row>
    <row r="125" spans="1:9">
      <c r="A125" s="7" t="s">
        <v>630</v>
      </c>
      <c r="B125" s="7" t="s">
        <v>1215</v>
      </c>
      <c r="C125" s="7" t="s">
        <v>631</v>
      </c>
      <c r="D125" s="7" t="s">
        <v>32</v>
      </c>
      <c r="E125" s="7" t="s">
        <v>91</v>
      </c>
      <c r="F125" s="7">
        <v>100</v>
      </c>
      <c r="G125" s="7">
        <v>30</v>
      </c>
      <c r="H125" s="7">
        <v>16</v>
      </c>
      <c r="I125" s="7">
        <v>9</v>
      </c>
    </row>
    <row r="126" spans="1:9">
      <c r="A126" s="7" t="s">
        <v>632</v>
      </c>
      <c r="B126" s="7" t="s">
        <v>1216</v>
      </c>
      <c r="C126" s="7" t="s">
        <v>631</v>
      </c>
      <c r="D126" s="7" t="s">
        <v>32</v>
      </c>
      <c r="E126" s="7" t="s">
        <v>91</v>
      </c>
      <c r="F126" s="7">
        <v>125</v>
      </c>
      <c r="G126" s="7">
        <v>30</v>
      </c>
      <c r="H126" s="7">
        <v>16</v>
      </c>
      <c r="I126" s="7">
        <v>6</v>
      </c>
    </row>
    <row r="127" spans="1:9">
      <c r="A127" s="7" t="s">
        <v>633</v>
      </c>
      <c r="B127" s="7" t="s">
        <v>1217</v>
      </c>
      <c r="C127" s="7" t="s">
        <v>631</v>
      </c>
      <c r="D127" s="7" t="s">
        <v>32</v>
      </c>
      <c r="E127" s="7" t="s">
        <v>75</v>
      </c>
      <c r="F127" s="7">
        <v>100</v>
      </c>
      <c r="G127" s="7">
        <v>30</v>
      </c>
      <c r="H127" s="7">
        <v>16</v>
      </c>
      <c r="I127" s="7">
        <v>9</v>
      </c>
    </row>
    <row r="128" spans="1:9">
      <c r="A128" s="7" t="s">
        <v>634</v>
      </c>
      <c r="B128" s="7" t="s">
        <v>1218</v>
      </c>
      <c r="C128" s="7" t="s">
        <v>631</v>
      </c>
      <c r="D128" s="7" t="s">
        <v>32</v>
      </c>
      <c r="E128" s="7" t="s">
        <v>75</v>
      </c>
      <c r="F128" s="7">
        <v>125</v>
      </c>
      <c r="G128" s="7">
        <v>30</v>
      </c>
      <c r="H128" s="7">
        <v>16</v>
      </c>
      <c r="I128" s="7">
        <v>4</v>
      </c>
    </row>
    <row r="129" spans="1:9">
      <c r="A129" s="7" t="s">
        <v>635</v>
      </c>
      <c r="B129" s="7" t="s">
        <v>1219</v>
      </c>
      <c r="C129" s="7" t="s">
        <v>631</v>
      </c>
      <c r="D129" s="7" t="s">
        <v>32</v>
      </c>
      <c r="E129" s="7" t="s">
        <v>636</v>
      </c>
      <c r="F129" s="7">
        <v>100</v>
      </c>
      <c r="G129" s="7">
        <v>35</v>
      </c>
      <c r="H129" s="7">
        <v>15</v>
      </c>
      <c r="I129" s="7">
        <v>8</v>
      </c>
    </row>
    <row r="130" spans="1:9">
      <c r="A130" s="7" t="s">
        <v>637</v>
      </c>
      <c r="B130" s="7" t="s">
        <v>1220</v>
      </c>
      <c r="C130" s="7" t="s">
        <v>631</v>
      </c>
      <c r="D130" s="7" t="s">
        <v>32</v>
      </c>
      <c r="E130" s="7" t="s">
        <v>636</v>
      </c>
      <c r="F130" s="7">
        <v>150</v>
      </c>
      <c r="G130" s="7">
        <v>35</v>
      </c>
      <c r="H130" s="7">
        <v>15</v>
      </c>
      <c r="I130" s="7">
        <v>6</v>
      </c>
    </row>
    <row r="131" spans="1:9">
      <c r="A131" s="7" t="s">
        <v>638</v>
      </c>
      <c r="B131" s="7" t="s">
        <v>1221</v>
      </c>
      <c r="C131" s="7" t="s">
        <v>631</v>
      </c>
      <c r="D131" s="7" t="s">
        <v>32</v>
      </c>
      <c r="E131" s="7" t="s">
        <v>636</v>
      </c>
      <c r="F131" s="7">
        <v>50</v>
      </c>
      <c r="G131" s="7">
        <v>35</v>
      </c>
      <c r="H131" s="7">
        <v>15</v>
      </c>
      <c r="I131" s="7">
        <v>10</v>
      </c>
    </row>
    <row r="132" spans="1:9">
      <c r="A132" s="7" t="s">
        <v>639</v>
      </c>
      <c r="B132" s="7" t="s">
        <v>1222</v>
      </c>
      <c r="C132" s="7" t="s">
        <v>631</v>
      </c>
      <c r="D132" s="7" t="s">
        <v>28</v>
      </c>
      <c r="E132" s="7" t="s">
        <v>90</v>
      </c>
      <c r="F132" s="7">
        <v>10</v>
      </c>
      <c r="G132" s="7">
        <v>10</v>
      </c>
      <c r="H132" s="7">
        <v>5</v>
      </c>
      <c r="I132" s="7">
        <v>720</v>
      </c>
    </row>
    <row r="133" spans="1:9">
      <c r="A133" s="7" t="s">
        <v>640</v>
      </c>
      <c r="B133" s="7" t="s">
        <v>1223</v>
      </c>
      <c r="C133" s="7" t="s">
        <v>631</v>
      </c>
      <c r="D133" s="7" t="s">
        <v>28</v>
      </c>
      <c r="E133" s="7" t="s">
        <v>90</v>
      </c>
      <c r="F133" s="7">
        <v>20</v>
      </c>
      <c r="G133" s="7">
        <v>10</v>
      </c>
      <c r="H133" s="7">
        <v>5</v>
      </c>
      <c r="I133" s="7">
        <v>360</v>
      </c>
    </row>
    <row r="134" spans="1:9">
      <c r="A134" s="7" t="s">
        <v>641</v>
      </c>
      <c r="B134" s="7" t="s">
        <v>1224</v>
      </c>
      <c r="C134" s="7" t="s">
        <v>631</v>
      </c>
      <c r="D134" s="7" t="s">
        <v>40</v>
      </c>
      <c r="E134" s="7" t="s">
        <v>642</v>
      </c>
      <c r="F134" s="7" t="s">
        <v>467</v>
      </c>
      <c r="G134" s="7" t="s">
        <v>468</v>
      </c>
      <c r="H134" s="7">
        <v>2</v>
      </c>
      <c r="I134" s="7">
        <v>132</v>
      </c>
    </row>
    <row r="135" spans="1:9">
      <c r="A135" s="7" t="s">
        <v>643</v>
      </c>
      <c r="B135" s="7" t="s">
        <v>1225</v>
      </c>
      <c r="C135" s="7" t="s">
        <v>631</v>
      </c>
      <c r="D135" s="7" t="s">
        <v>40</v>
      </c>
      <c r="E135" s="7" t="s">
        <v>642</v>
      </c>
      <c r="F135" s="7" t="s">
        <v>469</v>
      </c>
      <c r="G135" s="7">
        <v>20</v>
      </c>
      <c r="H135" s="7">
        <v>6</v>
      </c>
      <c r="I135" s="7">
        <v>80</v>
      </c>
    </row>
    <row r="136" spans="1:9">
      <c r="A136" s="7" t="s">
        <v>644</v>
      </c>
      <c r="B136" s="7" t="s">
        <v>1226</v>
      </c>
      <c r="C136" s="7" t="s">
        <v>631</v>
      </c>
      <c r="D136" s="7" t="s">
        <v>40</v>
      </c>
      <c r="E136" s="7" t="s">
        <v>645</v>
      </c>
      <c r="F136" s="7" t="s">
        <v>467</v>
      </c>
      <c r="G136" s="7" t="s">
        <v>468</v>
      </c>
      <c r="H136" s="7">
        <v>2.5</v>
      </c>
      <c r="I136" s="7">
        <v>108</v>
      </c>
    </row>
    <row r="137" spans="1:9">
      <c r="A137" s="7" t="s">
        <v>646</v>
      </c>
      <c r="B137" s="7" t="s">
        <v>1227</v>
      </c>
      <c r="C137" s="7" t="s">
        <v>631</v>
      </c>
      <c r="D137" s="7" t="s">
        <v>40</v>
      </c>
      <c r="E137" s="7" t="s">
        <v>645</v>
      </c>
      <c r="F137" s="7" t="s">
        <v>471</v>
      </c>
      <c r="G137" s="7" t="s">
        <v>471</v>
      </c>
      <c r="H137" s="7">
        <v>3</v>
      </c>
      <c r="I137" s="7">
        <v>50</v>
      </c>
    </row>
    <row r="138" spans="1:9">
      <c r="A138" s="7" t="s">
        <v>647</v>
      </c>
      <c r="B138" s="7" t="s">
        <v>1228</v>
      </c>
      <c r="C138" s="7" t="s">
        <v>631</v>
      </c>
      <c r="D138" s="7" t="s">
        <v>29</v>
      </c>
      <c r="E138" s="7" t="s">
        <v>648</v>
      </c>
      <c r="F138" s="7">
        <v>60</v>
      </c>
      <c r="G138" s="7">
        <v>30</v>
      </c>
      <c r="H138" s="7">
        <v>5</v>
      </c>
      <c r="I138" s="7">
        <v>40</v>
      </c>
    </row>
    <row r="139" spans="1:9">
      <c r="A139" s="7" t="s">
        <v>649</v>
      </c>
      <c r="B139" s="7" t="s">
        <v>1229</v>
      </c>
      <c r="C139" s="7" t="s">
        <v>631</v>
      </c>
      <c r="D139" s="7" t="s">
        <v>29</v>
      </c>
      <c r="E139" s="7" t="s">
        <v>91</v>
      </c>
      <c r="F139" s="7">
        <v>100</v>
      </c>
      <c r="G139" s="7">
        <v>15</v>
      </c>
      <c r="H139" s="7">
        <v>5</v>
      </c>
      <c r="I139" s="7">
        <v>48</v>
      </c>
    </row>
    <row r="140" spans="1:9">
      <c r="A140" s="7" t="s">
        <v>650</v>
      </c>
      <c r="B140" s="7" t="s">
        <v>1230</v>
      </c>
      <c r="C140" s="7" t="s">
        <v>631</v>
      </c>
      <c r="D140" s="7" t="s">
        <v>29</v>
      </c>
      <c r="E140" s="7" t="s">
        <v>91</v>
      </c>
      <c r="F140" s="7">
        <v>100</v>
      </c>
      <c r="G140" s="7">
        <v>20</v>
      </c>
      <c r="H140" s="7">
        <v>5</v>
      </c>
      <c r="I140" s="7">
        <v>36</v>
      </c>
    </row>
    <row r="141" spans="1:9">
      <c r="A141" s="7" t="s">
        <v>651</v>
      </c>
      <c r="B141" s="7" t="s">
        <v>1231</v>
      </c>
      <c r="C141" s="7" t="s">
        <v>631</v>
      </c>
      <c r="D141" s="7" t="s">
        <v>29</v>
      </c>
      <c r="E141" s="7" t="s">
        <v>91</v>
      </c>
      <c r="F141" s="7">
        <v>100</v>
      </c>
      <c r="G141" s="7">
        <v>25</v>
      </c>
      <c r="H141" s="7">
        <v>10</v>
      </c>
      <c r="I141" s="7">
        <v>16</v>
      </c>
    </row>
    <row r="142" spans="1:9">
      <c r="A142" s="7" t="s">
        <v>652</v>
      </c>
      <c r="B142" s="7" t="s">
        <v>1232</v>
      </c>
      <c r="C142" s="7" t="s">
        <v>631</v>
      </c>
      <c r="D142" s="7" t="s">
        <v>29</v>
      </c>
      <c r="E142" s="7" t="s">
        <v>91</v>
      </c>
      <c r="F142" s="7">
        <v>100</v>
      </c>
      <c r="G142" s="7">
        <v>30</v>
      </c>
      <c r="H142" s="7">
        <v>5</v>
      </c>
      <c r="I142" s="7">
        <v>24</v>
      </c>
    </row>
    <row r="143" spans="1:9">
      <c r="A143" s="7" t="s">
        <v>653</v>
      </c>
      <c r="B143" s="7" t="s">
        <v>1233</v>
      </c>
      <c r="C143" s="7" t="s">
        <v>631</v>
      </c>
      <c r="D143" s="7" t="s">
        <v>29</v>
      </c>
      <c r="E143" s="7" t="s">
        <v>91</v>
      </c>
      <c r="F143" s="7">
        <v>100</v>
      </c>
      <c r="G143" s="7">
        <v>35</v>
      </c>
      <c r="H143" s="7">
        <v>5</v>
      </c>
      <c r="I143" s="7">
        <v>20</v>
      </c>
    </row>
    <row r="144" spans="1:9">
      <c r="A144" s="7" t="s">
        <v>654</v>
      </c>
      <c r="B144" s="7" t="s">
        <v>1234</v>
      </c>
      <c r="C144" s="7" t="s">
        <v>631</v>
      </c>
      <c r="D144" s="7" t="s">
        <v>29</v>
      </c>
      <c r="E144" s="7" t="s">
        <v>91</v>
      </c>
      <c r="F144" s="7">
        <v>125</v>
      </c>
      <c r="G144" s="7">
        <v>25</v>
      </c>
      <c r="H144" s="7">
        <v>10</v>
      </c>
      <c r="I144" s="7">
        <v>14</v>
      </c>
    </row>
    <row r="145" spans="1:9">
      <c r="A145" s="7" t="s">
        <v>655</v>
      </c>
      <c r="B145" s="7" t="s">
        <v>1235</v>
      </c>
      <c r="C145" s="7" t="s">
        <v>631</v>
      </c>
      <c r="D145" s="7" t="s">
        <v>29</v>
      </c>
      <c r="E145" s="7" t="s">
        <v>91</v>
      </c>
      <c r="F145" s="7">
        <v>50</v>
      </c>
      <c r="G145" s="7">
        <v>25</v>
      </c>
      <c r="H145" s="7">
        <v>10</v>
      </c>
      <c r="I145" s="7">
        <v>32</v>
      </c>
    </row>
    <row r="146" spans="1:9">
      <c r="A146" s="7" t="s">
        <v>656</v>
      </c>
      <c r="B146" s="7" t="s">
        <v>1236</v>
      </c>
      <c r="C146" s="7" t="s">
        <v>631</v>
      </c>
      <c r="D146" s="7" t="s">
        <v>29</v>
      </c>
      <c r="E146" s="7" t="s">
        <v>91</v>
      </c>
      <c r="F146" s="7">
        <v>75</v>
      </c>
      <c r="G146" s="7">
        <v>25</v>
      </c>
      <c r="H146" s="7">
        <v>10</v>
      </c>
      <c r="I146" s="7">
        <v>20</v>
      </c>
    </row>
    <row r="147" spans="1:9">
      <c r="A147" s="7" t="s">
        <v>657</v>
      </c>
      <c r="B147" s="7" t="s">
        <v>1237</v>
      </c>
      <c r="C147" s="7" t="s">
        <v>631</v>
      </c>
      <c r="D147" s="7" t="s">
        <v>29</v>
      </c>
      <c r="E147" s="7" t="s">
        <v>75</v>
      </c>
      <c r="F147" s="7">
        <v>100</v>
      </c>
      <c r="G147" s="7">
        <v>15</v>
      </c>
      <c r="H147" s="7">
        <v>5</v>
      </c>
      <c r="I147" s="7">
        <v>48</v>
      </c>
    </row>
    <row r="148" spans="1:9">
      <c r="A148" s="7" t="s">
        <v>658</v>
      </c>
      <c r="B148" s="7" t="s">
        <v>1238</v>
      </c>
      <c r="C148" s="7" t="s">
        <v>631</v>
      </c>
      <c r="D148" s="7" t="s">
        <v>29</v>
      </c>
      <c r="E148" s="7" t="s">
        <v>75</v>
      </c>
      <c r="F148" s="7">
        <v>100</v>
      </c>
      <c r="G148" s="7">
        <v>20</v>
      </c>
      <c r="H148" s="7">
        <v>5</v>
      </c>
      <c r="I148" s="7">
        <v>36</v>
      </c>
    </row>
    <row r="149" spans="1:9">
      <c r="A149" s="7" t="s">
        <v>659</v>
      </c>
      <c r="B149" s="7" t="s">
        <v>1239</v>
      </c>
      <c r="C149" s="7" t="s">
        <v>631</v>
      </c>
      <c r="D149" s="7" t="s">
        <v>29</v>
      </c>
      <c r="E149" s="7" t="s">
        <v>75</v>
      </c>
      <c r="F149" s="7">
        <v>100</v>
      </c>
      <c r="G149" s="7">
        <v>25</v>
      </c>
      <c r="H149" s="7">
        <v>5</v>
      </c>
      <c r="I149" s="7">
        <v>24</v>
      </c>
    </row>
    <row r="150" spans="1:9">
      <c r="A150" s="7" t="s">
        <v>660</v>
      </c>
      <c r="B150" s="7" t="s">
        <v>1240</v>
      </c>
      <c r="C150" s="7" t="s">
        <v>631</v>
      </c>
      <c r="D150" s="7" t="s">
        <v>29</v>
      </c>
      <c r="E150" s="7" t="s">
        <v>75</v>
      </c>
      <c r="F150" s="7">
        <v>100</v>
      </c>
      <c r="G150" s="7">
        <v>25</v>
      </c>
      <c r="H150" s="7">
        <v>8</v>
      </c>
      <c r="I150" s="7">
        <v>20</v>
      </c>
    </row>
    <row r="151" spans="1:9">
      <c r="A151" s="7" t="s">
        <v>661</v>
      </c>
      <c r="B151" s="7" t="s">
        <v>1241</v>
      </c>
      <c r="C151" s="7" t="s">
        <v>631</v>
      </c>
      <c r="D151" s="7" t="s">
        <v>29</v>
      </c>
      <c r="E151" s="7" t="s">
        <v>75</v>
      </c>
      <c r="F151" s="7">
        <v>100</v>
      </c>
      <c r="G151" s="7">
        <v>30</v>
      </c>
      <c r="H151" s="7">
        <v>5</v>
      </c>
      <c r="I151" s="7">
        <v>24</v>
      </c>
    </row>
    <row r="152" spans="1:9">
      <c r="A152" s="7" t="s">
        <v>662</v>
      </c>
      <c r="B152" s="7" t="s">
        <v>1242</v>
      </c>
      <c r="C152" s="7" t="s">
        <v>631</v>
      </c>
      <c r="D152" s="7" t="s">
        <v>29</v>
      </c>
      <c r="E152" s="7" t="s">
        <v>75</v>
      </c>
      <c r="F152" s="7">
        <v>125</v>
      </c>
      <c r="G152" s="7">
        <v>25</v>
      </c>
      <c r="H152" s="7">
        <v>8</v>
      </c>
      <c r="I152" s="7">
        <v>16</v>
      </c>
    </row>
    <row r="153" spans="1:9">
      <c r="A153" s="7" t="s">
        <v>663</v>
      </c>
      <c r="B153" s="7" t="s">
        <v>1243</v>
      </c>
      <c r="C153" s="7" t="s">
        <v>631</v>
      </c>
      <c r="D153" s="7" t="s">
        <v>29</v>
      </c>
      <c r="E153" s="7" t="s">
        <v>75</v>
      </c>
      <c r="F153" s="7">
        <v>50</v>
      </c>
      <c r="G153" s="7">
        <v>25</v>
      </c>
      <c r="H153" s="7">
        <v>8</v>
      </c>
      <c r="I153" s="7">
        <v>40</v>
      </c>
    </row>
    <row r="154" spans="1:9">
      <c r="A154" s="7" t="s">
        <v>664</v>
      </c>
      <c r="B154" s="7" t="s">
        <v>1244</v>
      </c>
      <c r="C154" s="7" t="s">
        <v>631</v>
      </c>
      <c r="D154" s="7" t="s">
        <v>29</v>
      </c>
      <c r="E154" s="7" t="s">
        <v>75</v>
      </c>
      <c r="F154" s="7">
        <v>75</v>
      </c>
      <c r="G154" s="7">
        <v>25</v>
      </c>
      <c r="H154" s="7">
        <v>8</v>
      </c>
      <c r="I154" s="7">
        <v>24</v>
      </c>
    </row>
    <row r="155" spans="1:9">
      <c r="A155" s="7" t="s">
        <v>665</v>
      </c>
      <c r="B155" s="7" t="s">
        <v>1245</v>
      </c>
      <c r="C155" s="7" t="s">
        <v>631</v>
      </c>
      <c r="D155" s="7" t="s">
        <v>29</v>
      </c>
      <c r="E155" s="7" t="s">
        <v>666</v>
      </c>
      <c r="F155" s="7">
        <v>100</v>
      </c>
      <c r="G155" s="7">
        <v>20</v>
      </c>
      <c r="H155" s="7">
        <v>6</v>
      </c>
      <c r="I155" s="7">
        <v>30</v>
      </c>
    </row>
    <row r="156" spans="1:9">
      <c r="A156" s="7" t="s">
        <v>667</v>
      </c>
      <c r="B156" s="7" t="s">
        <v>1246</v>
      </c>
      <c r="C156" s="7" t="s">
        <v>631</v>
      </c>
      <c r="D156" s="7" t="s">
        <v>29</v>
      </c>
      <c r="E156" s="7" t="s">
        <v>666</v>
      </c>
      <c r="F156" s="7">
        <v>100</v>
      </c>
      <c r="G156" s="7">
        <v>25</v>
      </c>
      <c r="H156" s="7">
        <v>8</v>
      </c>
      <c r="I156" s="7">
        <v>20</v>
      </c>
    </row>
    <row r="157" spans="1:9">
      <c r="A157" s="7" t="s">
        <v>668</v>
      </c>
      <c r="B157" s="7" t="s">
        <v>1247</v>
      </c>
      <c r="C157" s="7" t="s">
        <v>631</v>
      </c>
      <c r="D157" s="7" t="s">
        <v>29</v>
      </c>
      <c r="E157" s="7" t="s">
        <v>666</v>
      </c>
      <c r="F157" s="7">
        <v>125</v>
      </c>
      <c r="G157" s="7">
        <v>25</v>
      </c>
      <c r="H157" s="7">
        <v>8</v>
      </c>
      <c r="I157" s="7">
        <v>16</v>
      </c>
    </row>
    <row r="158" spans="1:9">
      <c r="A158" s="7" t="s">
        <v>669</v>
      </c>
      <c r="B158" s="7" t="s">
        <v>1248</v>
      </c>
      <c r="C158" s="7" t="s">
        <v>631</v>
      </c>
      <c r="D158" s="7" t="s">
        <v>29</v>
      </c>
      <c r="E158" s="7" t="s">
        <v>666</v>
      </c>
      <c r="F158" s="7">
        <v>150</v>
      </c>
      <c r="G158" s="7">
        <v>25</v>
      </c>
      <c r="H158" s="7">
        <v>8</v>
      </c>
      <c r="I158" s="7">
        <v>14</v>
      </c>
    </row>
    <row r="159" spans="1:9">
      <c r="A159" s="7" t="s">
        <v>670</v>
      </c>
      <c r="B159" s="7" t="s">
        <v>1249</v>
      </c>
      <c r="C159" s="7" t="s">
        <v>631</v>
      </c>
      <c r="D159" s="7" t="s">
        <v>10</v>
      </c>
      <c r="E159" s="7" t="s">
        <v>671</v>
      </c>
      <c r="F159" s="7">
        <v>100.1</v>
      </c>
      <c r="G159" s="7">
        <v>28.5</v>
      </c>
      <c r="H159" s="7">
        <v>4</v>
      </c>
      <c r="I159" s="7">
        <v>30</v>
      </c>
    </row>
    <row r="160" spans="1:9">
      <c r="A160" s="7" t="s">
        <v>672</v>
      </c>
      <c r="B160" s="7" t="s">
        <v>1250</v>
      </c>
      <c r="C160" s="7" t="s">
        <v>631</v>
      </c>
      <c r="D160" s="7" t="s">
        <v>10</v>
      </c>
      <c r="E160" s="7" t="s">
        <v>671</v>
      </c>
      <c r="F160" s="7">
        <v>100.6</v>
      </c>
      <c r="G160" s="7">
        <v>28.5</v>
      </c>
      <c r="H160" s="7">
        <v>4</v>
      </c>
      <c r="I160" s="7">
        <v>30</v>
      </c>
    </row>
    <row r="161" spans="1:9">
      <c r="A161" s="7" t="s">
        <v>673</v>
      </c>
      <c r="B161" s="7" t="s">
        <v>1251</v>
      </c>
      <c r="C161" s="7" t="s">
        <v>631</v>
      </c>
      <c r="D161" s="7" t="s">
        <v>10</v>
      </c>
      <c r="E161" s="7" t="s">
        <v>90</v>
      </c>
      <c r="F161" s="7">
        <v>15</v>
      </c>
      <c r="G161" s="7">
        <v>15</v>
      </c>
      <c r="H161" s="7">
        <v>1.2</v>
      </c>
      <c r="I161" s="7">
        <v>50</v>
      </c>
    </row>
    <row r="162" spans="1:9">
      <c r="A162" s="7" t="s">
        <v>674</v>
      </c>
      <c r="B162" s="7" t="s">
        <v>1252</v>
      </c>
      <c r="C162" s="7" t="s">
        <v>631</v>
      </c>
      <c r="D162" s="7" t="s">
        <v>10</v>
      </c>
      <c r="E162" s="7" t="s">
        <v>90</v>
      </c>
      <c r="F162" s="7">
        <v>20</v>
      </c>
      <c r="G162" s="7">
        <v>20</v>
      </c>
      <c r="H162" s="7">
        <v>2</v>
      </c>
      <c r="I162" s="7">
        <v>450</v>
      </c>
    </row>
    <row r="163" spans="1:9">
      <c r="A163" s="7" t="s">
        <v>675</v>
      </c>
      <c r="B163" s="7" t="s">
        <v>1253</v>
      </c>
      <c r="C163" s="7" t="s">
        <v>631</v>
      </c>
      <c r="D163" s="7" t="s">
        <v>10</v>
      </c>
      <c r="E163" s="7" t="s">
        <v>90</v>
      </c>
      <c r="F163" s="7">
        <v>20</v>
      </c>
      <c r="G163" s="7">
        <v>20</v>
      </c>
      <c r="H163" s="7">
        <v>2.5</v>
      </c>
      <c r="I163" s="7">
        <v>360</v>
      </c>
    </row>
    <row r="164" spans="1:9">
      <c r="A164" s="7" t="s">
        <v>676</v>
      </c>
      <c r="B164" s="7" t="s">
        <v>1254</v>
      </c>
      <c r="C164" s="7" t="s">
        <v>631</v>
      </c>
      <c r="D164" s="7" t="s">
        <v>10</v>
      </c>
      <c r="E164" s="7" t="s">
        <v>90</v>
      </c>
      <c r="F164" s="7">
        <v>20</v>
      </c>
      <c r="G164" s="7">
        <v>20</v>
      </c>
      <c r="H164" s="7">
        <v>5</v>
      </c>
      <c r="I164" s="7">
        <v>180</v>
      </c>
    </row>
    <row r="165" spans="1:9">
      <c r="A165" s="7" t="s">
        <v>677</v>
      </c>
      <c r="B165" s="7" t="s">
        <v>1255</v>
      </c>
      <c r="C165" s="7" t="s">
        <v>631</v>
      </c>
      <c r="D165" s="7" t="s">
        <v>10</v>
      </c>
      <c r="E165" s="7" t="s">
        <v>90</v>
      </c>
      <c r="F165" s="7">
        <v>20</v>
      </c>
      <c r="G165" s="7">
        <v>5</v>
      </c>
      <c r="H165" s="7">
        <v>2.5</v>
      </c>
      <c r="I165" s="7">
        <v>1440</v>
      </c>
    </row>
    <row r="166" spans="1:9">
      <c r="A166" s="7" t="s">
        <v>678</v>
      </c>
      <c r="B166" s="7" t="s">
        <v>1256</v>
      </c>
      <c r="C166" s="7" t="s">
        <v>631</v>
      </c>
      <c r="D166" s="7" t="s">
        <v>10</v>
      </c>
      <c r="E166" s="7" t="s">
        <v>90</v>
      </c>
      <c r="F166" s="7">
        <v>20</v>
      </c>
      <c r="G166" s="7">
        <v>5</v>
      </c>
      <c r="H166" s="7">
        <v>5</v>
      </c>
      <c r="I166" s="7">
        <v>720</v>
      </c>
    </row>
    <row r="167" spans="1:9">
      <c r="A167" s="7" t="s">
        <v>679</v>
      </c>
      <c r="B167" s="7" t="s">
        <v>1257</v>
      </c>
      <c r="C167" s="7" t="s">
        <v>631</v>
      </c>
      <c r="D167" s="7" t="s">
        <v>10</v>
      </c>
      <c r="E167" s="7" t="s">
        <v>90</v>
      </c>
      <c r="F167" s="7">
        <v>25</v>
      </c>
      <c r="G167" s="7">
        <v>8</v>
      </c>
      <c r="H167" s="7">
        <v>5</v>
      </c>
      <c r="I167" s="7">
        <v>360</v>
      </c>
    </row>
    <row r="168" spans="1:9">
      <c r="A168" s="7" t="s">
        <v>680</v>
      </c>
      <c r="B168" s="7" t="s">
        <v>1258</v>
      </c>
      <c r="C168" s="7" t="s">
        <v>631</v>
      </c>
      <c r="D168" s="7" t="s">
        <v>10</v>
      </c>
      <c r="E168" s="7" t="s">
        <v>90</v>
      </c>
      <c r="F168" s="7">
        <v>30</v>
      </c>
      <c r="G168" s="7">
        <v>30</v>
      </c>
      <c r="H168" s="7">
        <v>2.5</v>
      </c>
      <c r="I168" s="7">
        <v>160</v>
      </c>
    </row>
    <row r="169" spans="1:9">
      <c r="A169" s="7" t="s">
        <v>681</v>
      </c>
      <c r="B169" s="7" t="s">
        <v>1259</v>
      </c>
      <c r="C169" s="7" t="s">
        <v>631</v>
      </c>
      <c r="D169" s="7" t="s">
        <v>10</v>
      </c>
      <c r="E169" s="7" t="s">
        <v>90</v>
      </c>
      <c r="F169" s="7">
        <v>40</v>
      </c>
      <c r="G169" s="7">
        <v>40</v>
      </c>
      <c r="H169" s="7">
        <v>2.5</v>
      </c>
      <c r="I169" s="7">
        <v>80</v>
      </c>
    </row>
    <row r="170" spans="1:9">
      <c r="A170" s="7" t="s">
        <v>682</v>
      </c>
      <c r="B170" s="7" t="s">
        <v>1260</v>
      </c>
      <c r="C170" s="7" t="s">
        <v>631</v>
      </c>
      <c r="D170" s="7" t="s">
        <v>10</v>
      </c>
      <c r="E170" s="7" t="s">
        <v>671</v>
      </c>
      <c r="F170" s="7">
        <v>50.3</v>
      </c>
      <c r="G170" s="7">
        <v>28.5</v>
      </c>
      <c r="H170" s="7">
        <v>4</v>
      </c>
      <c r="I170" s="7">
        <v>30</v>
      </c>
    </row>
    <row r="171" spans="1:9">
      <c r="A171" s="7" t="s">
        <v>683</v>
      </c>
      <c r="B171" s="7" t="s">
        <v>1261</v>
      </c>
      <c r="C171" s="7" t="s">
        <v>631</v>
      </c>
      <c r="D171" s="7" t="s">
        <v>10</v>
      </c>
      <c r="E171" s="7" t="s">
        <v>90</v>
      </c>
      <c r="F171" s="7">
        <v>50</v>
      </c>
      <c r="G171" s="7">
        <v>50</v>
      </c>
      <c r="H171" s="7">
        <v>2.5</v>
      </c>
      <c r="I171" s="7">
        <v>40</v>
      </c>
    </row>
    <row r="172" spans="1:9">
      <c r="A172" s="7" t="s">
        <v>684</v>
      </c>
      <c r="B172" s="7" t="s">
        <v>1262</v>
      </c>
      <c r="C172" s="7" t="s">
        <v>631</v>
      </c>
      <c r="D172" s="7" t="s">
        <v>10</v>
      </c>
      <c r="E172" s="7" t="s">
        <v>90</v>
      </c>
      <c r="F172" s="7">
        <v>60</v>
      </c>
      <c r="G172" s="7">
        <v>30</v>
      </c>
      <c r="H172" s="7">
        <v>2</v>
      </c>
      <c r="I172" s="7">
        <v>100</v>
      </c>
    </row>
    <row r="173" spans="1:9">
      <c r="A173" s="7" t="s">
        <v>685</v>
      </c>
      <c r="B173" s="7" t="s">
        <v>1263</v>
      </c>
      <c r="C173" s="7" t="s">
        <v>631</v>
      </c>
      <c r="D173" s="7" t="s">
        <v>10</v>
      </c>
      <c r="E173" s="7" t="s">
        <v>90</v>
      </c>
      <c r="F173" s="7">
        <v>60</v>
      </c>
      <c r="G173" s="7">
        <v>30</v>
      </c>
      <c r="H173" s="7">
        <v>3</v>
      </c>
      <c r="I173" s="7">
        <v>33</v>
      </c>
    </row>
    <row r="174" spans="1:9">
      <c r="A174" s="7" t="s">
        <v>686</v>
      </c>
      <c r="B174" s="7" t="s">
        <v>1264</v>
      </c>
      <c r="C174" s="7" t="s">
        <v>631</v>
      </c>
      <c r="D174" s="7" t="s">
        <v>10</v>
      </c>
      <c r="E174" s="7" t="s">
        <v>90</v>
      </c>
      <c r="F174" s="7">
        <v>60</v>
      </c>
      <c r="G174" s="7">
        <v>40</v>
      </c>
      <c r="H174" s="7">
        <v>2</v>
      </c>
      <c r="I174" s="7">
        <v>50</v>
      </c>
    </row>
    <row r="175" spans="1:9">
      <c r="A175" s="7" t="s">
        <v>687</v>
      </c>
      <c r="B175" s="7" t="s">
        <v>1265</v>
      </c>
      <c r="C175" s="7" t="s">
        <v>631</v>
      </c>
      <c r="D175" s="7" t="s">
        <v>10</v>
      </c>
      <c r="E175" s="7" t="s">
        <v>90</v>
      </c>
      <c r="F175" s="7">
        <v>60</v>
      </c>
      <c r="G175" s="7">
        <v>40</v>
      </c>
      <c r="H175" s="7">
        <v>2.5</v>
      </c>
      <c r="I175" s="7">
        <v>40</v>
      </c>
    </row>
    <row r="176" spans="1:9">
      <c r="A176" s="7" t="s">
        <v>688</v>
      </c>
      <c r="B176" s="7" t="s">
        <v>1266</v>
      </c>
      <c r="C176" s="7" t="s">
        <v>631</v>
      </c>
      <c r="D176" s="7" t="s">
        <v>10</v>
      </c>
      <c r="E176" s="7" t="s">
        <v>90</v>
      </c>
      <c r="F176" s="7">
        <v>60</v>
      </c>
      <c r="G176" s="7">
        <v>40</v>
      </c>
      <c r="H176" s="7">
        <v>3</v>
      </c>
      <c r="I176" s="7">
        <v>33</v>
      </c>
    </row>
    <row r="177" spans="1:9">
      <c r="A177" s="7" t="s">
        <v>689</v>
      </c>
      <c r="B177" s="7" t="s">
        <v>1267</v>
      </c>
      <c r="C177" s="7" t="s">
        <v>631</v>
      </c>
      <c r="D177" s="7" t="s">
        <v>10</v>
      </c>
      <c r="E177" s="7" t="s">
        <v>90</v>
      </c>
      <c r="F177" s="7">
        <v>60</v>
      </c>
      <c r="G177" s="7">
        <v>60</v>
      </c>
      <c r="H177" s="7">
        <v>2</v>
      </c>
      <c r="I177" s="7">
        <v>50</v>
      </c>
    </row>
    <row r="178" spans="1:9">
      <c r="A178" s="7" t="s">
        <v>690</v>
      </c>
      <c r="B178" s="7" t="s">
        <v>1268</v>
      </c>
      <c r="C178" s="7" t="s">
        <v>631</v>
      </c>
      <c r="D178" s="7" t="s">
        <v>10</v>
      </c>
      <c r="E178" s="7" t="s">
        <v>90</v>
      </c>
      <c r="F178" s="7">
        <v>60</v>
      </c>
      <c r="G178" s="7">
        <v>60</v>
      </c>
      <c r="H178" s="7">
        <v>2.5</v>
      </c>
      <c r="I178" s="7">
        <v>40</v>
      </c>
    </row>
    <row r="179" spans="1:9">
      <c r="A179" s="7" t="s">
        <v>691</v>
      </c>
      <c r="B179" s="7" t="s">
        <v>1269</v>
      </c>
      <c r="C179" s="7" t="s">
        <v>631</v>
      </c>
      <c r="D179" s="7" t="s">
        <v>10</v>
      </c>
      <c r="E179" s="7" t="s">
        <v>671</v>
      </c>
      <c r="F179" s="7">
        <v>62.5</v>
      </c>
      <c r="G179" s="7">
        <v>7.5</v>
      </c>
      <c r="H179" s="7">
        <v>2</v>
      </c>
      <c r="I179" s="7">
        <v>30</v>
      </c>
    </row>
    <row r="180" spans="1:9">
      <c r="A180" s="7" t="s">
        <v>692</v>
      </c>
      <c r="B180" s="7" t="s">
        <v>1270</v>
      </c>
      <c r="C180" s="7" t="s">
        <v>631</v>
      </c>
      <c r="D180" s="7" t="s">
        <v>10</v>
      </c>
      <c r="E180" s="7" t="s">
        <v>671</v>
      </c>
      <c r="F180" s="7">
        <v>72.8</v>
      </c>
      <c r="G180" s="7">
        <v>28.5</v>
      </c>
      <c r="H180" s="7">
        <v>4</v>
      </c>
      <c r="I180" s="7">
        <v>30</v>
      </c>
    </row>
    <row r="181" spans="1:9">
      <c r="A181" s="7" t="s">
        <v>693</v>
      </c>
      <c r="B181" s="7" t="s">
        <v>1271</v>
      </c>
      <c r="C181" s="7" t="s">
        <v>631</v>
      </c>
      <c r="D181" s="7" t="s">
        <v>10</v>
      </c>
      <c r="E181" s="7" t="s">
        <v>671</v>
      </c>
      <c r="F181" s="7">
        <v>75.400000000000006</v>
      </c>
      <c r="G181" s="7">
        <v>28.5</v>
      </c>
      <c r="H181" s="7">
        <v>4</v>
      </c>
      <c r="I181" s="7">
        <v>30</v>
      </c>
    </row>
    <row r="182" spans="1:9">
      <c r="A182" s="7" t="s">
        <v>694</v>
      </c>
      <c r="B182" s="7" t="s">
        <v>1272</v>
      </c>
      <c r="C182" s="7" t="s">
        <v>631</v>
      </c>
      <c r="D182" s="7" t="s">
        <v>10</v>
      </c>
      <c r="E182" s="7" t="s">
        <v>90</v>
      </c>
      <c r="F182" s="7">
        <v>80</v>
      </c>
      <c r="G182" s="7">
        <v>40</v>
      </c>
      <c r="H182" s="7">
        <v>3</v>
      </c>
      <c r="I182" s="7">
        <v>34</v>
      </c>
    </row>
    <row r="183" spans="1:9">
      <c r="A183" s="7" t="s">
        <v>695</v>
      </c>
      <c r="B183" s="7" t="s">
        <v>1273</v>
      </c>
      <c r="C183" s="7" t="s">
        <v>631</v>
      </c>
      <c r="D183" s="7" t="s">
        <v>10</v>
      </c>
      <c r="E183" s="7" t="s">
        <v>671</v>
      </c>
      <c r="F183" s="7">
        <v>88.5</v>
      </c>
      <c r="G183" s="7">
        <v>28.5</v>
      </c>
      <c r="H183" s="7">
        <v>4</v>
      </c>
      <c r="I183" s="7">
        <v>30</v>
      </c>
    </row>
    <row r="184" spans="1:9">
      <c r="A184" s="7" t="s">
        <v>696</v>
      </c>
      <c r="B184" s="7" t="s">
        <v>1274</v>
      </c>
      <c r="C184" s="7" t="s">
        <v>631</v>
      </c>
      <c r="D184" s="7" t="s">
        <v>10</v>
      </c>
      <c r="E184" s="7" t="s">
        <v>90</v>
      </c>
      <c r="F184" s="7">
        <v>90</v>
      </c>
      <c r="G184" s="7">
        <v>60</v>
      </c>
      <c r="H184" s="7">
        <v>2.5</v>
      </c>
      <c r="I184" s="7">
        <v>25</v>
      </c>
    </row>
    <row r="185" spans="1:9">
      <c r="A185" s="7" t="s">
        <v>697</v>
      </c>
      <c r="B185" s="7" t="s">
        <v>1275</v>
      </c>
      <c r="C185" s="7" t="s">
        <v>631</v>
      </c>
      <c r="D185" s="7" t="s">
        <v>10</v>
      </c>
      <c r="E185" s="7" t="s">
        <v>90</v>
      </c>
      <c r="F185" s="7">
        <v>90</v>
      </c>
      <c r="G185" s="7">
        <v>60</v>
      </c>
      <c r="H185" s="7">
        <v>3</v>
      </c>
      <c r="I185" s="7">
        <v>20</v>
      </c>
    </row>
    <row r="186" spans="1:9">
      <c r="A186" s="7" t="s">
        <v>698</v>
      </c>
      <c r="B186" s="7" t="s">
        <v>1276</v>
      </c>
      <c r="C186" s="7" t="s">
        <v>631</v>
      </c>
      <c r="D186" s="7" t="s">
        <v>10</v>
      </c>
      <c r="E186" s="7" t="s">
        <v>671</v>
      </c>
      <c r="F186" s="7">
        <v>95.3</v>
      </c>
      <c r="G186" s="7">
        <v>28.5</v>
      </c>
      <c r="H186" s="7">
        <v>4</v>
      </c>
      <c r="I186" s="7">
        <v>30</v>
      </c>
    </row>
    <row r="187" spans="1:9">
      <c r="A187" s="7" t="s">
        <v>699</v>
      </c>
      <c r="B187" s="7" t="s">
        <v>1277</v>
      </c>
      <c r="C187" s="7" t="s">
        <v>631</v>
      </c>
      <c r="D187" s="7" t="s">
        <v>10</v>
      </c>
      <c r="E187" s="7" t="s">
        <v>700</v>
      </c>
      <c r="F187" s="7">
        <v>60</v>
      </c>
      <c r="G187" s="7">
        <v>30</v>
      </c>
      <c r="H187" s="7">
        <v>3</v>
      </c>
      <c r="I187" s="7">
        <v>66</v>
      </c>
    </row>
    <row r="188" spans="1:9">
      <c r="A188" s="7" t="s">
        <v>701</v>
      </c>
      <c r="B188" s="7" t="s">
        <v>1278</v>
      </c>
      <c r="C188" s="7" t="s">
        <v>631</v>
      </c>
      <c r="D188" s="7" t="s">
        <v>10</v>
      </c>
      <c r="E188" s="7" t="s">
        <v>700</v>
      </c>
      <c r="F188" s="7">
        <v>60</v>
      </c>
      <c r="G188" s="7">
        <v>40</v>
      </c>
      <c r="H188" s="7">
        <v>3</v>
      </c>
      <c r="I188" s="7">
        <v>33</v>
      </c>
    </row>
    <row r="189" spans="1:9">
      <c r="A189" s="7" t="s">
        <v>702</v>
      </c>
      <c r="B189" s="7" t="s">
        <v>1279</v>
      </c>
      <c r="C189" s="7" t="s">
        <v>631</v>
      </c>
      <c r="D189" s="7" t="s">
        <v>10</v>
      </c>
      <c r="E189" s="7" t="s">
        <v>75</v>
      </c>
      <c r="F189" s="7">
        <v>20</v>
      </c>
      <c r="G189" s="7">
        <v>20</v>
      </c>
      <c r="H189" s="7">
        <v>2</v>
      </c>
      <c r="I189" s="7">
        <v>450</v>
      </c>
    </row>
    <row r="190" spans="1:9">
      <c r="A190" s="7" t="s">
        <v>703</v>
      </c>
      <c r="B190" s="7" t="s">
        <v>1280</v>
      </c>
      <c r="C190" s="7" t="s">
        <v>631</v>
      </c>
      <c r="D190" s="7" t="s">
        <v>10</v>
      </c>
      <c r="E190" s="7" t="s">
        <v>75</v>
      </c>
      <c r="F190" s="7">
        <v>40</v>
      </c>
      <c r="G190" s="7">
        <v>20</v>
      </c>
      <c r="H190" s="7">
        <v>2</v>
      </c>
      <c r="I190" s="7">
        <v>200</v>
      </c>
    </row>
    <row r="191" spans="1:9">
      <c r="A191" s="7" t="s">
        <v>704</v>
      </c>
      <c r="B191" s="7" t="s">
        <v>1281</v>
      </c>
      <c r="C191" s="7" t="s">
        <v>631</v>
      </c>
      <c r="D191" s="7" t="s">
        <v>10</v>
      </c>
      <c r="E191" s="7" t="s">
        <v>75</v>
      </c>
      <c r="F191" s="7">
        <v>40</v>
      </c>
      <c r="G191" s="7">
        <v>40</v>
      </c>
      <c r="H191" s="7">
        <v>2</v>
      </c>
      <c r="I191" s="7">
        <v>100</v>
      </c>
    </row>
    <row r="192" spans="1:9">
      <c r="A192" s="7" t="s">
        <v>705</v>
      </c>
      <c r="B192" s="7" t="s">
        <v>1282</v>
      </c>
      <c r="C192" s="7" t="s">
        <v>631</v>
      </c>
      <c r="D192" s="7" t="s">
        <v>10</v>
      </c>
      <c r="E192" s="7" t="s">
        <v>75</v>
      </c>
      <c r="F192" s="7">
        <v>40</v>
      </c>
      <c r="G192" s="7">
        <v>40</v>
      </c>
      <c r="H192" s="7">
        <v>2.5</v>
      </c>
      <c r="I192" s="7">
        <v>80</v>
      </c>
    </row>
    <row r="193" spans="1:9">
      <c r="A193" s="7" t="s">
        <v>706</v>
      </c>
      <c r="B193" s="7" t="s">
        <v>1283</v>
      </c>
      <c r="C193" s="7" t="s">
        <v>631</v>
      </c>
      <c r="D193" s="7" t="s">
        <v>10</v>
      </c>
      <c r="E193" s="7" t="s">
        <v>75</v>
      </c>
      <c r="F193" s="7">
        <v>50</v>
      </c>
      <c r="G193" s="7">
        <v>50</v>
      </c>
      <c r="H193" s="7">
        <v>2.5</v>
      </c>
      <c r="I193" s="7">
        <v>40</v>
      </c>
    </row>
    <row r="194" spans="1:9">
      <c r="A194" s="7" t="s">
        <v>707</v>
      </c>
      <c r="B194" s="7" t="s">
        <v>1284</v>
      </c>
      <c r="C194" s="7" t="s">
        <v>631</v>
      </c>
      <c r="D194" s="7" t="s">
        <v>10</v>
      </c>
      <c r="E194" s="7" t="s">
        <v>75</v>
      </c>
      <c r="F194" s="7">
        <v>60</v>
      </c>
      <c r="G194" s="7">
        <v>40</v>
      </c>
      <c r="H194" s="7">
        <v>2</v>
      </c>
      <c r="I194" s="7">
        <v>50</v>
      </c>
    </row>
    <row r="195" spans="1:9">
      <c r="A195" s="7" t="s">
        <v>708</v>
      </c>
      <c r="B195" s="7" t="s">
        <v>1285</v>
      </c>
      <c r="C195" s="7" t="s">
        <v>631</v>
      </c>
      <c r="D195" s="7" t="s">
        <v>10</v>
      </c>
      <c r="E195" s="7" t="s">
        <v>75</v>
      </c>
      <c r="F195" s="7">
        <v>60</v>
      </c>
      <c r="G195" s="7">
        <v>40</v>
      </c>
      <c r="H195" s="7">
        <v>2.5</v>
      </c>
      <c r="I195" s="7">
        <v>40</v>
      </c>
    </row>
    <row r="196" spans="1:9">
      <c r="A196" s="7" t="s">
        <v>709</v>
      </c>
      <c r="B196" s="7" t="s">
        <v>1286</v>
      </c>
      <c r="C196" s="7" t="s">
        <v>631</v>
      </c>
      <c r="D196" s="7" t="s">
        <v>10</v>
      </c>
      <c r="E196" s="7" t="s">
        <v>75</v>
      </c>
      <c r="F196" s="7">
        <v>60</v>
      </c>
      <c r="G196" s="7">
        <v>60</v>
      </c>
      <c r="H196" s="7">
        <v>2.5</v>
      </c>
      <c r="I196" s="7">
        <v>40</v>
      </c>
    </row>
    <row r="197" spans="1:9">
      <c r="A197" s="7" t="s">
        <v>710</v>
      </c>
      <c r="B197" s="7" t="s">
        <v>1287</v>
      </c>
      <c r="C197" s="7" t="s">
        <v>631</v>
      </c>
      <c r="D197" s="7" t="s">
        <v>10</v>
      </c>
      <c r="E197" s="7" t="s">
        <v>93</v>
      </c>
      <c r="F197" s="7">
        <v>40</v>
      </c>
      <c r="G197" s="7">
        <v>40</v>
      </c>
      <c r="H197" s="7">
        <v>2</v>
      </c>
      <c r="I197" s="7">
        <v>100</v>
      </c>
    </row>
    <row r="198" spans="1:9">
      <c r="A198" s="7" t="s">
        <v>711</v>
      </c>
      <c r="B198" s="7" t="s">
        <v>1288</v>
      </c>
      <c r="C198" s="7" t="s">
        <v>631</v>
      </c>
      <c r="D198" s="7" t="s">
        <v>10</v>
      </c>
      <c r="E198" s="7" t="s">
        <v>92</v>
      </c>
      <c r="F198" s="7">
        <v>30</v>
      </c>
      <c r="G198" s="7">
        <v>30</v>
      </c>
      <c r="H198" s="7">
        <v>2.5</v>
      </c>
      <c r="I198" s="7">
        <v>160</v>
      </c>
    </row>
    <row r="199" spans="1:9">
      <c r="A199" s="7" t="s">
        <v>712</v>
      </c>
      <c r="B199" s="7" t="s">
        <v>1289</v>
      </c>
      <c r="C199" s="7" t="s">
        <v>631</v>
      </c>
      <c r="D199" s="7" t="s">
        <v>10</v>
      </c>
      <c r="E199" s="7" t="s">
        <v>92</v>
      </c>
      <c r="F199" s="7">
        <v>40</v>
      </c>
      <c r="G199" s="7">
        <v>40</v>
      </c>
      <c r="H199" s="7">
        <v>2.5</v>
      </c>
      <c r="I199" s="7">
        <v>80</v>
      </c>
    </row>
    <row r="200" spans="1:9">
      <c r="A200" s="7" t="s">
        <v>713</v>
      </c>
      <c r="B200" s="7" t="s">
        <v>1290</v>
      </c>
      <c r="C200" s="7" t="s">
        <v>631</v>
      </c>
      <c r="D200" s="7" t="s">
        <v>10</v>
      </c>
      <c r="E200" s="7" t="s">
        <v>94</v>
      </c>
      <c r="F200" s="7">
        <v>40</v>
      </c>
      <c r="G200" s="7">
        <v>40</v>
      </c>
      <c r="H200" s="7">
        <v>2</v>
      </c>
      <c r="I200" s="7">
        <v>100</v>
      </c>
    </row>
    <row r="201" spans="1:9">
      <c r="A201" s="7" t="s">
        <v>714</v>
      </c>
      <c r="B201" s="7" t="s">
        <v>1291</v>
      </c>
      <c r="C201" s="7" t="s">
        <v>631</v>
      </c>
      <c r="D201" s="7" t="s">
        <v>10</v>
      </c>
      <c r="E201" s="7" t="s">
        <v>100</v>
      </c>
      <c r="F201" s="7">
        <v>15</v>
      </c>
      <c r="G201" s="7">
        <v>15</v>
      </c>
      <c r="H201" s="7">
        <v>2</v>
      </c>
      <c r="I201" s="7">
        <v>800</v>
      </c>
    </row>
    <row r="202" spans="1:9">
      <c r="A202" s="7" t="s">
        <v>715</v>
      </c>
      <c r="B202" s="7" t="s">
        <v>1292</v>
      </c>
      <c r="C202" s="7" t="s">
        <v>631</v>
      </c>
      <c r="D202" s="7" t="s">
        <v>10</v>
      </c>
      <c r="E202" s="7" t="s">
        <v>100</v>
      </c>
      <c r="F202" s="7">
        <v>15</v>
      </c>
      <c r="G202" s="7">
        <v>15</v>
      </c>
      <c r="H202" s="7">
        <v>2.5</v>
      </c>
      <c r="I202" s="7">
        <v>640</v>
      </c>
    </row>
    <row r="203" spans="1:9">
      <c r="A203" s="7" t="s">
        <v>716</v>
      </c>
      <c r="B203" s="7" t="s">
        <v>1293</v>
      </c>
      <c r="C203" s="7" t="s">
        <v>631</v>
      </c>
      <c r="D203" s="7" t="s">
        <v>10</v>
      </c>
      <c r="E203" s="7" t="s">
        <v>100</v>
      </c>
      <c r="F203" s="7">
        <v>15</v>
      </c>
      <c r="G203" s="7">
        <v>15</v>
      </c>
      <c r="H203" s="7">
        <v>5</v>
      </c>
      <c r="I203" s="7">
        <v>320</v>
      </c>
    </row>
    <row r="204" spans="1:9">
      <c r="A204" s="7" t="s">
        <v>717</v>
      </c>
      <c r="B204" s="7" t="s">
        <v>1294</v>
      </c>
      <c r="C204" s="7" t="s">
        <v>631</v>
      </c>
      <c r="D204" s="7" t="s">
        <v>10</v>
      </c>
      <c r="E204" s="7" t="s">
        <v>100</v>
      </c>
      <c r="F204" s="7">
        <v>20</v>
      </c>
      <c r="G204" s="7">
        <v>20</v>
      </c>
      <c r="H204" s="7">
        <v>5</v>
      </c>
      <c r="I204" s="7">
        <v>180</v>
      </c>
    </row>
    <row r="205" spans="1:9">
      <c r="A205" s="7" t="s">
        <v>718</v>
      </c>
      <c r="B205" s="7" t="s">
        <v>1295</v>
      </c>
      <c r="C205" s="7" t="s">
        <v>631</v>
      </c>
      <c r="D205" s="7" t="s">
        <v>10</v>
      </c>
      <c r="E205" s="7" t="s">
        <v>100</v>
      </c>
      <c r="F205" s="7">
        <v>20</v>
      </c>
      <c r="G205" s="7">
        <v>5</v>
      </c>
      <c r="H205" s="7">
        <v>5</v>
      </c>
      <c r="I205" s="7">
        <v>720</v>
      </c>
    </row>
    <row r="206" spans="1:9">
      <c r="A206" s="7" t="s">
        <v>719</v>
      </c>
      <c r="B206" s="7" t="s">
        <v>1296</v>
      </c>
      <c r="C206" s="7" t="s">
        <v>631</v>
      </c>
      <c r="D206" s="7" t="s">
        <v>10</v>
      </c>
      <c r="E206" s="7" t="s">
        <v>100</v>
      </c>
      <c r="F206" s="7">
        <v>24</v>
      </c>
      <c r="G206" s="7">
        <v>8</v>
      </c>
      <c r="H206" s="7">
        <v>5</v>
      </c>
      <c r="I206" s="7">
        <v>360</v>
      </c>
    </row>
    <row r="207" spans="1:9">
      <c r="A207" s="7" t="s">
        <v>720</v>
      </c>
      <c r="B207" s="7" t="s">
        <v>1297</v>
      </c>
      <c r="C207" s="7" t="s">
        <v>631</v>
      </c>
      <c r="D207" s="7" t="s">
        <v>10</v>
      </c>
      <c r="E207" s="7" t="s">
        <v>101</v>
      </c>
      <c r="F207" s="7">
        <v>15</v>
      </c>
      <c r="G207" s="7">
        <v>15</v>
      </c>
      <c r="H207" s="7">
        <v>2</v>
      </c>
      <c r="I207" s="7">
        <v>800</v>
      </c>
    </row>
    <row r="208" spans="1:9">
      <c r="A208" s="7" t="s">
        <v>721</v>
      </c>
      <c r="B208" s="7" t="s">
        <v>1298</v>
      </c>
      <c r="C208" s="7" t="s">
        <v>631</v>
      </c>
      <c r="D208" s="7" t="s">
        <v>10</v>
      </c>
      <c r="E208" s="7" t="s">
        <v>101</v>
      </c>
      <c r="F208" s="7">
        <v>15</v>
      </c>
      <c r="G208" s="7">
        <v>15</v>
      </c>
      <c r="H208" s="7">
        <v>4</v>
      </c>
      <c r="I208" s="7">
        <v>400</v>
      </c>
    </row>
    <row r="209" spans="1:9">
      <c r="A209" s="7" t="s">
        <v>722</v>
      </c>
      <c r="B209" s="7" t="s">
        <v>1299</v>
      </c>
      <c r="C209" s="7" t="s">
        <v>631</v>
      </c>
      <c r="D209" s="7" t="s">
        <v>10</v>
      </c>
      <c r="E209" s="7" t="s">
        <v>101</v>
      </c>
      <c r="F209" s="7">
        <v>15</v>
      </c>
      <c r="G209" s="7">
        <v>15</v>
      </c>
      <c r="H209" s="7">
        <v>5</v>
      </c>
      <c r="I209" s="7">
        <v>320</v>
      </c>
    </row>
    <row r="210" spans="1:9">
      <c r="A210" s="7" t="s">
        <v>723</v>
      </c>
      <c r="B210" s="7" t="s">
        <v>1300</v>
      </c>
      <c r="C210" s="7" t="s">
        <v>631</v>
      </c>
      <c r="D210" s="7" t="s">
        <v>10</v>
      </c>
      <c r="E210" s="7" t="s">
        <v>101</v>
      </c>
      <c r="F210" s="7">
        <v>20</v>
      </c>
      <c r="G210" s="7">
        <v>20</v>
      </c>
      <c r="H210" s="7">
        <v>2.5</v>
      </c>
      <c r="I210" s="7">
        <v>360</v>
      </c>
    </row>
    <row r="211" spans="1:9">
      <c r="A211" s="7" t="s">
        <v>724</v>
      </c>
      <c r="B211" s="7" t="s">
        <v>1301</v>
      </c>
      <c r="C211" s="7" t="s">
        <v>631</v>
      </c>
      <c r="D211" s="7" t="s">
        <v>10</v>
      </c>
      <c r="E211" s="7" t="s">
        <v>102</v>
      </c>
      <c r="F211" s="7">
        <v>20</v>
      </c>
      <c r="G211" s="7">
        <v>5</v>
      </c>
      <c r="H211" s="7">
        <v>5</v>
      </c>
      <c r="I211" s="7">
        <v>684</v>
      </c>
    </row>
    <row r="212" spans="1:9">
      <c r="A212" s="7" t="s">
        <v>725</v>
      </c>
      <c r="B212" s="7" t="s">
        <v>1302</v>
      </c>
      <c r="C212" s="7" t="s">
        <v>631</v>
      </c>
      <c r="D212" s="7" t="s">
        <v>37</v>
      </c>
      <c r="E212" s="7" t="s">
        <v>75</v>
      </c>
      <c r="F212" s="7">
        <v>106.6</v>
      </c>
      <c r="G212" s="7">
        <v>43</v>
      </c>
      <c r="H212" s="7" t="s">
        <v>392</v>
      </c>
      <c r="I212" s="7">
        <v>25</v>
      </c>
    </row>
    <row r="213" spans="1:9">
      <c r="A213" s="7" t="s">
        <v>726</v>
      </c>
      <c r="B213" s="7" t="s">
        <v>1303</v>
      </c>
      <c r="C213" s="7" t="s">
        <v>631</v>
      </c>
      <c r="D213" s="7" t="s">
        <v>37</v>
      </c>
      <c r="E213" s="7" t="s">
        <v>75</v>
      </c>
      <c r="F213" s="7">
        <v>109.28</v>
      </c>
      <c r="G213" s="7">
        <v>28</v>
      </c>
      <c r="H213" s="7" t="s">
        <v>392</v>
      </c>
      <c r="I213" s="7">
        <v>25</v>
      </c>
    </row>
    <row r="214" spans="1:9">
      <c r="A214" s="7" t="s">
        <v>727</v>
      </c>
      <c r="B214" s="7" t="s">
        <v>1304</v>
      </c>
      <c r="C214" s="7" t="s">
        <v>631</v>
      </c>
      <c r="D214" s="7" t="s">
        <v>34</v>
      </c>
      <c r="E214" s="8" t="s">
        <v>728</v>
      </c>
      <c r="F214" s="7">
        <v>100</v>
      </c>
      <c r="G214" s="7">
        <v>20</v>
      </c>
      <c r="H214" s="7">
        <v>3</v>
      </c>
      <c r="I214" s="7">
        <v>60</v>
      </c>
    </row>
    <row r="215" spans="1:9">
      <c r="A215" s="7" t="s">
        <v>729</v>
      </c>
      <c r="B215" s="7" t="s">
        <v>1305</v>
      </c>
      <c r="C215" s="7" t="s">
        <v>631</v>
      </c>
      <c r="D215" s="7" t="s">
        <v>34</v>
      </c>
      <c r="E215" s="8" t="s">
        <v>728</v>
      </c>
      <c r="F215" s="7">
        <v>100</v>
      </c>
      <c r="G215" s="7">
        <v>30</v>
      </c>
      <c r="H215" s="7">
        <v>3</v>
      </c>
      <c r="I215" s="7">
        <v>40</v>
      </c>
    </row>
    <row r="216" spans="1:9">
      <c r="A216" s="7" t="s">
        <v>730</v>
      </c>
      <c r="B216" s="7" t="s">
        <v>1306</v>
      </c>
      <c r="C216" s="7" t="s">
        <v>631</v>
      </c>
      <c r="D216" s="7" t="s">
        <v>34</v>
      </c>
      <c r="E216" s="7" t="s">
        <v>731</v>
      </c>
      <c r="F216" s="7">
        <v>100</v>
      </c>
      <c r="G216" s="7">
        <v>30</v>
      </c>
      <c r="H216" s="7">
        <v>3</v>
      </c>
      <c r="I216" s="7">
        <v>6</v>
      </c>
    </row>
    <row r="217" spans="1:9">
      <c r="A217" s="7" t="s">
        <v>732</v>
      </c>
      <c r="B217" s="7" t="s">
        <v>1307</v>
      </c>
      <c r="C217" s="7" t="s">
        <v>631</v>
      </c>
      <c r="D217" s="7" t="s">
        <v>34</v>
      </c>
      <c r="E217" s="8" t="s">
        <v>728</v>
      </c>
      <c r="F217" s="7">
        <v>100</v>
      </c>
      <c r="G217" s="7">
        <v>35</v>
      </c>
      <c r="H217" s="7">
        <v>3</v>
      </c>
      <c r="I217" s="7">
        <v>30</v>
      </c>
    </row>
    <row r="218" spans="1:9">
      <c r="A218" s="7" t="s">
        <v>733</v>
      </c>
      <c r="B218" s="7" t="s">
        <v>1308</v>
      </c>
      <c r="C218" s="7" t="s">
        <v>631</v>
      </c>
      <c r="D218" s="7" t="s">
        <v>34</v>
      </c>
      <c r="E218" s="8" t="s">
        <v>734</v>
      </c>
      <c r="F218" s="7">
        <v>100</v>
      </c>
      <c r="G218" s="7">
        <v>35</v>
      </c>
      <c r="H218" s="7">
        <v>4</v>
      </c>
      <c r="I218" s="7">
        <v>20</v>
      </c>
    </row>
    <row r="219" spans="1:9">
      <c r="A219" s="7" t="s">
        <v>735</v>
      </c>
      <c r="B219" s="7" t="s">
        <v>1309</v>
      </c>
      <c r="C219" s="7" t="s">
        <v>631</v>
      </c>
      <c r="D219" s="7" t="s">
        <v>34</v>
      </c>
      <c r="E219" s="8" t="s">
        <v>728</v>
      </c>
      <c r="F219" s="7">
        <v>100</v>
      </c>
      <c r="G219" s="7">
        <v>40</v>
      </c>
      <c r="H219" s="7">
        <v>3</v>
      </c>
      <c r="I219" s="7">
        <v>25</v>
      </c>
    </row>
    <row r="220" spans="1:9">
      <c r="A220" s="7" t="s">
        <v>736</v>
      </c>
      <c r="B220" s="7" t="s">
        <v>1310</v>
      </c>
      <c r="C220" s="7" t="s">
        <v>631</v>
      </c>
      <c r="D220" s="7" t="s">
        <v>34</v>
      </c>
      <c r="E220" s="7" t="s">
        <v>666</v>
      </c>
      <c r="F220" s="7">
        <v>120</v>
      </c>
      <c r="G220" s="7">
        <v>30</v>
      </c>
      <c r="H220" s="7">
        <v>3</v>
      </c>
      <c r="I220" s="7">
        <v>25</v>
      </c>
    </row>
    <row r="221" spans="1:9">
      <c r="A221" s="7" t="s">
        <v>737</v>
      </c>
      <c r="B221" s="7" t="s">
        <v>1311</v>
      </c>
      <c r="C221" s="7" t="s">
        <v>631</v>
      </c>
      <c r="D221" s="7" t="s">
        <v>34</v>
      </c>
      <c r="E221" s="7" t="s">
        <v>666</v>
      </c>
      <c r="F221" s="7">
        <v>120</v>
      </c>
      <c r="G221" s="7">
        <v>35</v>
      </c>
      <c r="H221" s="7">
        <v>3</v>
      </c>
      <c r="I221" s="7">
        <v>25</v>
      </c>
    </row>
    <row r="222" spans="1:9">
      <c r="A222" s="7" t="s">
        <v>738</v>
      </c>
      <c r="B222" s="7" t="s">
        <v>1312</v>
      </c>
      <c r="C222" s="7" t="s">
        <v>739</v>
      </c>
      <c r="D222" s="7" t="s">
        <v>32</v>
      </c>
      <c r="E222" s="7" t="s">
        <v>740</v>
      </c>
      <c r="F222" s="7">
        <v>100</v>
      </c>
      <c r="G222" s="7">
        <v>30</v>
      </c>
      <c r="H222" s="7">
        <v>16</v>
      </c>
      <c r="I222" s="7">
        <v>9</v>
      </c>
    </row>
    <row r="223" spans="1:9">
      <c r="A223" s="7" t="s">
        <v>741</v>
      </c>
      <c r="B223" s="7" t="s">
        <v>1313</v>
      </c>
      <c r="C223" s="7" t="s">
        <v>739</v>
      </c>
      <c r="D223" s="7" t="s">
        <v>32</v>
      </c>
      <c r="E223" s="7" t="s">
        <v>742</v>
      </c>
      <c r="F223" s="7">
        <v>100</v>
      </c>
      <c r="G223" s="7">
        <v>33</v>
      </c>
      <c r="H223" s="7">
        <v>15</v>
      </c>
      <c r="I223" s="7">
        <v>8</v>
      </c>
    </row>
    <row r="224" spans="1:9">
      <c r="A224" s="7" t="s">
        <v>743</v>
      </c>
      <c r="B224" s="7" t="s">
        <v>1314</v>
      </c>
      <c r="C224" s="7" t="s">
        <v>739</v>
      </c>
      <c r="D224" s="7" t="s">
        <v>32</v>
      </c>
      <c r="E224" s="7" t="s">
        <v>740</v>
      </c>
      <c r="F224" s="7">
        <v>125</v>
      </c>
      <c r="G224" s="7">
        <v>30</v>
      </c>
      <c r="H224" s="7">
        <v>16</v>
      </c>
      <c r="I224" s="7">
        <v>6</v>
      </c>
    </row>
    <row r="225" spans="1:9">
      <c r="A225" s="7" t="s">
        <v>744</v>
      </c>
      <c r="B225" s="7" t="s">
        <v>1315</v>
      </c>
      <c r="C225" s="7" t="s">
        <v>739</v>
      </c>
      <c r="D225" s="7" t="s">
        <v>32</v>
      </c>
      <c r="E225" s="7" t="s">
        <v>740</v>
      </c>
      <c r="F225" s="7">
        <v>150</v>
      </c>
      <c r="G225" s="7">
        <v>30</v>
      </c>
      <c r="H225" s="7">
        <v>16</v>
      </c>
      <c r="I225" s="7">
        <v>6</v>
      </c>
    </row>
    <row r="226" spans="1:9">
      <c r="A226" s="7" t="s">
        <v>745</v>
      </c>
      <c r="B226" s="7" t="s">
        <v>1316</v>
      </c>
      <c r="C226" s="7" t="s">
        <v>739</v>
      </c>
      <c r="D226" s="7" t="s">
        <v>32</v>
      </c>
      <c r="E226" s="7" t="s">
        <v>742</v>
      </c>
      <c r="F226" s="7">
        <v>180</v>
      </c>
      <c r="G226" s="7">
        <v>36</v>
      </c>
      <c r="H226" s="7">
        <v>10</v>
      </c>
      <c r="I226" s="7">
        <v>6</v>
      </c>
    </row>
    <row r="227" spans="1:9">
      <c r="A227" s="7" t="s">
        <v>746</v>
      </c>
      <c r="B227" s="7" t="s">
        <v>1317</v>
      </c>
      <c r="C227" s="7" t="s">
        <v>739</v>
      </c>
      <c r="D227" s="7" t="s">
        <v>32</v>
      </c>
      <c r="E227" s="7" t="s">
        <v>742</v>
      </c>
      <c r="F227" s="7">
        <v>200</v>
      </c>
      <c r="G227" s="7">
        <v>33</v>
      </c>
      <c r="H227" s="7">
        <v>15</v>
      </c>
      <c r="I227" s="7">
        <v>4</v>
      </c>
    </row>
    <row r="228" spans="1:9">
      <c r="A228" s="7" t="s">
        <v>747</v>
      </c>
      <c r="B228" s="7" t="s">
        <v>1318</v>
      </c>
      <c r="C228" s="7" t="s">
        <v>739</v>
      </c>
      <c r="D228" s="7" t="s">
        <v>36</v>
      </c>
      <c r="E228" s="7" t="s">
        <v>89</v>
      </c>
      <c r="F228" s="7">
        <v>30</v>
      </c>
      <c r="G228" s="7">
        <v>15</v>
      </c>
      <c r="H228" s="7">
        <v>10</v>
      </c>
      <c r="I228" s="7">
        <v>126</v>
      </c>
    </row>
    <row r="229" spans="1:9">
      <c r="A229" s="7" t="s">
        <v>748</v>
      </c>
      <c r="B229" s="7" t="s">
        <v>1319</v>
      </c>
      <c r="C229" s="7" t="s">
        <v>739</v>
      </c>
      <c r="D229" s="7" t="s">
        <v>28</v>
      </c>
      <c r="E229" s="7" t="s">
        <v>749</v>
      </c>
      <c r="F229" s="7">
        <v>16</v>
      </c>
      <c r="G229" s="7">
        <v>16</v>
      </c>
      <c r="H229" s="7">
        <v>12</v>
      </c>
      <c r="I229" s="7">
        <v>144</v>
      </c>
    </row>
    <row r="230" spans="1:9">
      <c r="A230" s="7" t="s">
        <v>750</v>
      </c>
      <c r="B230" s="7" t="s">
        <v>1320</v>
      </c>
      <c r="C230" s="7" t="s">
        <v>739</v>
      </c>
      <c r="D230" s="7" t="s">
        <v>28</v>
      </c>
      <c r="E230" s="7" t="s">
        <v>751</v>
      </c>
      <c r="F230" s="7">
        <v>14</v>
      </c>
      <c r="G230" s="7">
        <v>14</v>
      </c>
      <c r="H230" s="7">
        <v>5</v>
      </c>
      <c r="I230" s="7">
        <v>539</v>
      </c>
    </row>
    <row r="231" spans="1:9">
      <c r="A231" s="7" t="s">
        <v>752</v>
      </c>
      <c r="B231" s="7" t="s">
        <v>1321</v>
      </c>
      <c r="C231" s="7" t="s">
        <v>739</v>
      </c>
      <c r="D231" s="7" t="s">
        <v>28</v>
      </c>
      <c r="E231" s="7" t="s">
        <v>751</v>
      </c>
      <c r="F231" s="7">
        <v>14</v>
      </c>
      <c r="G231" s="7">
        <v>14</v>
      </c>
      <c r="H231" s="7">
        <v>8</v>
      </c>
      <c r="I231" s="7">
        <v>343</v>
      </c>
    </row>
    <row r="232" spans="1:9">
      <c r="A232" s="7" t="s">
        <v>753</v>
      </c>
      <c r="B232" s="7" t="s">
        <v>1322</v>
      </c>
      <c r="C232" s="7" t="s">
        <v>739</v>
      </c>
      <c r="D232" s="7" t="s">
        <v>28</v>
      </c>
      <c r="E232" s="7" t="s">
        <v>751</v>
      </c>
      <c r="F232" s="7">
        <v>16</v>
      </c>
      <c r="G232" s="7">
        <v>16</v>
      </c>
      <c r="H232" s="7">
        <v>7</v>
      </c>
      <c r="I232" s="7">
        <v>288</v>
      </c>
    </row>
    <row r="233" spans="1:9">
      <c r="A233" s="7" t="s">
        <v>754</v>
      </c>
      <c r="B233" s="7" t="s">
        <v>1323</v>
      </c>
      <c r="C233" s="7" t="s">
        <v>739</v>
      </c>
      <c r="D233" s="7" t="s">
        <v>28</v>
      </c>
      <c r="E233" s="7" t="s">
        <v>89</v>
      </c>
      <c r="F233" s="7">
        <v>10</v>
      </c>
      <c r="G233" s="7">
        <v>10</v>
      </c>
      <c r="H233" s="7">
        <v>8</v>
      </c>
      <c r="I233" s="7">
        <v>700</v>
      </c>
    </row>
    <row r="234" spans="1:9">
      <c r="A234" s="7" t="s">
        <v>755</v>
      </c>
      <c r="B234" s="7" t="s">
        <v>1324</v>
      </c>
      <c r="C234" s="7" t="s">
        <v>739</v>
      </c>
      <c r="D234" s="7" t="s">
        <v>28</v>
      </c>
      <c r="E234" s="7" t="s">
        <v>89</v>
      </c>
      <c r="F234" s="7">
        <v>10</v>
      </c>
      <c r="G234" s="7">
        <v>10</v>
      </c>
      <c r="H234" s="7">
        <v>8.5</v>
      </c>
      <c r="I234" s="7">
        <v>700</v>
      </c>
    </row>
    <row r="235" spans="1:9">
      <c r="A235" s="7" t="s">
        <v>756</v>
      </c>
      <c r="B235" s="7" t="s">
        <v>1325</v>
      </c>
      <c r="C235" s="7" t="s">
        <v>739</v>
      </c>
      <c r="D235" s="7" t="s">
        <v>28</v>
      </c>
      <c r="E235" s="7" t="s">
        <v>89</v>
      </c>
      <c r="F235" s="7">
        <v>10</v>
      </c>
      <c r="G235" s="7">
        <v>10</v>
      </c>
      <c r="H235" s="7">
        <v>9</v>
      </c>
      <c r="I235" s="7">
        <v>700</v>
      </c>
    </row>
    <row r="236" spans="1:9">
      <c r="A236" s="7" t="s">
        <v>757</v>
      </c>
      <c r="B236" s="7" t="s">
        <v>1326</v>
      </c>
      <c r="C236" s="7" t="s">
        <v>739</v>
      </c>
      <c r="D236" s="7" t="s">
        <v>28</v>
      </c>
      <c r="E236" s="7" t="s">
        <v>89</v>
      </c>
      <c r="F236" s="7">
        <v>14</v>
      </c>
      <c r="G236" s="7">
        <v>14</v>
      </c>
      <c r="H236" s="7">
        <v>4</v>
      </c>
      <c r="I236" s="7">
        <v>735</v>
      </c>
    </row>
    <row r="237" spans="1:9">
      <c r="A237" s="7" t="s">
        <v>758</v>
      </c>
      <c r="B237" s="7" t="s">
        <v>1327</v>
      </c>
      <c r="C237" s="7" t="s">
        <v>739</v>
      </c>
      <c r="D237" s="7" t="s">
        <v>28</v>
      </c>
      <c r="E237" s="7" t="s">
        <v>89</v>
      </c>
      <c r="F237" s="7">
        <v>14</v>
      </c>
      <c r="G237" s="7">
        <v>14</v>
      </c>
      <c r="H237" s="7">
        <v>8</v>
      </c>
      <c r="I237" s="7">
        <v>343</v>
      </c>
    </row>
    <row r="238" spans="1:9">
      <c r="A238" s="7" t="s">
        <v>759</v>
      </c>
      <c r="B238" s="7" t="s">
        <v>1328</v>
      </c>
      <c r="C238" s="7" t="s">
        <v>739</v>
      </c>
      <c r="D238" s="7" t="s">
        <v>28</v>
      </c>
      <c r="E238" s="7" t="s">
        <v>89</v>
      </c>
      <c r="F238" s="7">
        <v>16</v>
      </c>
      <c r="G238" s="7">
        <v>16</v>
      </c>
      <c r="H238" s="7">
        <v>16</v>
      </c>
      <c r="I238" s="7">
        <v>144</v>
      </c>
    </row>
    <row r="239" spans="1:9">
      <c r="A239" s="7" t="s">
        <v>760</v>
      </c>
      <c r="B239" s="7" t="s">
        <v>1329</v>
      </c>
      <c r="C239" s="7" t="s">
        <v>739</v>
      </c>
      <c r="D239" s="7" t="s">
        <v>28</v>
      </c>
      <c r="E239" s="7" t="s">
        <v>89</v>
      </c>
      <c r="F239" s="7">
        <v>19</v>
      </c>
      <c r="G239" s="7">
        <v>9</v>
      </c>
      <c r="H239" s="7">
        <v>9</v>
      </c>
      <c r="I239" s="7">
        <v>250</v>
      </c>
    </row>
    <row r="240" spans="1:9">
      <c r="A240" s="7" t="s">
        <v>761</v>
      </c>
      <c r="B240" s="7" t="s">
        <v>1330</v>
      </c>
      <c r="C240" s="7" t="s">
        <v>739</v>
      </c>
      <c r="D240" s="7" t="s">
        <v>28</v>
      </c>
      <c r="E240" s="7" t="s">
        <v>89</v>
      </c>
      <c r="F240" s="7">
        <v>20</v>
      </c>
      <c r="G240" s="7">
        <v>10</v>
      </c>
      <c r="H240" s="7">
        <v>10</v>
      </c>
      <c r="I240" s="7">
        <v>6300</v>
      </c>
    </row>
    <row r="241" spans="1:9">
      <c r="A241" s="7" t="s">
        <v>762</v>
      </c>
      <c r="B241" s="7" t="s">
        <v>1331</v>
      </c>
      <c r="C241" s="7" t="s">
        <v>739</v>
      </c>
      <c r="D241" s="7" t="s">
        <v>28</v>
      </c>
      <c r="E241" s="7" t="s">
        <v>89</v>
      </c>
      <c r="F241" s="7">
        <v>20</v>
      </c>
      <c r="G241" s="7">
        <v>10</v>
      </c>
      <c r="H241" s="7">
        <v>8.5</v>
      </c>
      <c r="I241" s="7">
        <v>350</v>
      </c>
    </row>
    <row r="242" spans="1:9">
      <c r="A242" s="7" t="s">
        <v>763</v>
      </c>
      <c r="B242" s="7" t="s">
        <v>1332</v>
      </c>
      <c r="C242" s="7" t="s">
        <v>739</v>
      </c>
      <c r="D242" s="7" t="s">
        <v>28</v>
      </c>
      <c r="E242" s="7" t="s">
        <v>89</v>
      </c>
      <c r="F242" s="7">
        <v>20</v>
      </c>
      <c r="G242" s="7">
        <v>10</v>
      </c>
      <c r="H242" s="7">
        <v>9</v>
      </c>
      <c r="I242" s="7">
        <v>300</v>
      </c>
    </row>
    <row r="243" spans="1:9">
      <c r="A243" s="7" t="s">
        <v>764</v>
      </c>
      <c r="B243" s="7" t="s">
        <v>1333</v>
      </c>
      <c r="C243" s="7" t="s">
        <v>739</v>
      </c>
      <c r="D243" s="7" t="s">
        <v>28</v>
      </c>
      <c r="E243" s="7" t="s">
        <v>89</v>
      </c>
      <c r="F243" s="7">
        <v>20</v>
      </c>
      <c r="G243" s="7">
        <v>20</v>
      </c>
      <c r="H243" s="7">
        <v>20</v>
      </c>
      <c r="I243" s="7">
        <v>5</v>
      </c>
    </row>
    <row r="244" spans="1:9">
      <c r="A244" s="7" t="s">
        <v>765</v>
      </c>
      <c r="B244" s="7" t="s">
        <v>1334</v>
      </c>
      <c r="C244" s="7" t="s">
        <v>739</v>
      </c>
      <c r="D244" s="7" t="s">
        <v>28</v>
      </c>
      <c r="E244" s="7" t="s">
        <v>89</v>
      </c>
      <c r="F244" s="7">
        <v>29</v>
      </c>
      <c r="G244" s="7">
        <v>9</v>
      </c>
      <c r="H244" s="7">
        <v>9</v>
      </c>
      <c r="I244" s="7">
        <v>180</v>
      </c>
    </row>
    <row r="245" spans="1:9">
      <c r="A245" s="7" t="s">
        <v>766</v>
      </c>
      <c r="B245" s="7" t="s">
        <v>1335</v>
      </c>
      <c r="C245" s="7" t="s">
        <v>739</v>
      </c>
      <c r="D245" s="7" t="s">
        <v>28</v>
      </c>
      <c r="E245" s="7" t="s">
        <v>89</v>
      </c>
      <c r="F245" s="7">
        <v>30</v>
      </c>
      <c r="G245" s="7">
        <v>30</v>
      </c>
      <c r="H245" s="7">
        <v>30</v>
      </c>
      <c r="I245" s="7">
        <v>12</v>
      </c>
    </row>
    <row r="246" spans="1:9">
      <c r="A246" s="7" t="s">
        <v>767</v>
      </c>
      <c r="B246" s="7" t="s">
        <v>1336</v>
      </c>
      <c r="C246" s="7" t="s">
        <v>739</v>
      </c>
      <c r="D246" s="7" t="s">
        <v>28</v>
      </c>
      <c r="E246" s="7" t="s">
        <v>89</v>
      </c>
      <c r="F246" s="7">
        <v>40</v>
      </c>
      <c r="G246" s="7">
        <v>40</v>
      </c>
      <c r="H246" s="7">
        <v>40</v>
      </c>
      <c r="I246" s="7">
        <v>2</v>
      </c>
    </row>
    <row r="247" spans="1:9">
      <c r="A247" s="7" t="s">
        <v>768</v>
      </c>
      <c r="B247" s="7" t="s">
        <v>1337</v>
      </c>
      <c r="C247" s="7" t="s">
        <v>739</v>
      </c>
      <c r="D247" s="7" t="s">
        <v>28</v>
      </c>
      <c r="E247" s="7" t="s">
        <v>89</v>
      </c>
      <c r="F247" s="7">
        <v>50</v>
      </c>
      <c r="G247" s="7">
        <v>50</v>
      </c>
      <c r="H247" s="7">
        <v>50</v>
      </c>
      <c r="I247" s="7">
        <v>5</v>
      </c>
    </row>
    <row r="248" spans="1:9">
      <c r="A248" s="7" t="s">
        <v>769</v>
      </c>
      <c r="B248" s="7" t="s">
        <v>1338</v>
      </c>
      <c r="C248" s="7" t="s">
        <v>739</v>
      </c>
      <c r="D248" s="7" t="s">
        <v>28</v>
      </c>
      <c r="E248" s="7" t="s">
        <v>89</v>
      </c>
      <c r="F248" s="7">
        <v>5</v>
      </c>
      <c r="G248" s="7">
        <v>5</v>
      </c>
      <c r="H248" s="7">
        <v>5</v>
      </c>
      <c r="I248" s="7">
        <v>4000</v>
      </c>
    </row>
    <row r="249" spans="1:9">
      <c r="A249" s="7" t="s">
        <v>770</v>
      </c>
      <c r="B249" s="7" t="s">
        <v>1339</v>
      </c>
      <c r="C249" s="7" t="s">
        <v>739</v>
      </c>
      <c r="D249" s="7" t="s">
        <v>28</v>
      </c>
      <c r="E249" s="7" t="s">
        <v>89</v>
      </c>
      <c r="F249" s="7">
        <v>9</v>
      </c>
      <c r="G249" s="7">
        <v>9</v>
      </c>
      <c r="H249" s="7">
        <v>4.5</v>
      </c>
      <c r="I249" s="7">
        <v>1000</v>
      </c>
    </row>
    <row r="250" spans="1:9">
      <c r="A250" s="7" t="s">
        <v>771</v>
      </c>
      <c r="B250" s="7" t="s">
        <v>1340</v>
      </c>
      <c r="C250" s="7" t="s">
        <v>739</v>
      </c>
      <c r="D250" s="7" t="s">
        <v>28</v>
      </c>
      <c r="E250" s="7" t="s">
        <v>89</v>
      </c>
      <c r="F250" s="7">
        <v>9</v>
      </c>
      <c r="G250" s="7">
        <v>9</v>
      </c>
      <c r="H250" s="7">
        <v>9</v>
      </c>
      <c r="I250" s="7">
        <v>500</v>
      </c>
    </row>
    <row r="251" spans="1:9">
      <c r="A251" s="7" t="s">
        <v>772</v>
      </c>
      <c r="B251" s="7" t="s">
        <v>1341</v>
      </c>
      <c r="C251" s="7" t="s">
        <v>739</v>
      </c>
      <c r="D251" s="7" t="s">
        <v>28</v>
      </c>
      <c r="E251" s="7" t="s">
        <v>89</v>
      </c>
      <c r="F251" s="7">
        <v>9</v>
      </c>
      <c r="G251" s="7">
        <v>9</v>
      </c>
      <c r="H251" s="7">
        <v>9</v>
      </c>
      <c r="I251" s="7">
        <v>726</v>
      </c>
    </row>
    <row r="252" spans="1:9">
      <c r="A252" s="7" t="s">
        <v>773</v>
      </c>
      <c r="B252" s="7" t="s">
        <v>1342</v>
      </c>
      <c r="C252" s="7" t="s">
        <v>739</v>
      </c>
      <c r="D252" s="7" t="s">
        <v>28</v>
      </c>
      <c r="E252" s="7" t="s">
        <v>126</v>
      </c>
      <c r="F252" s="7">
        <v>30</v>
      </c>
      <c r="G252" s="7">
        <v>5</v>
      </c>
      <c r="H252" s="7">
        <v>5</v>
      </c>
      <c r="I252" s="7">
        <v>432</v>
      </c>
    </row>
    <row r="253" spans="1:9">
      <c r="A253" s="7" t="s">
        <v>774</v>
      </c>
      <c r="B253" s="7" t="s">
        <v>1343</v>
      </c>
      <c r="C253" s="7" t="s">
        <v>739</v>
      </c>
      <c r="D253" s="7" t="s">
        <v>29</v>
      </c>
      <c r="E253" s="7" t="s">
        <v>740</v>
      </c>
      <c r="F253" s="7">
        <v>100</v>
      </c>
      <c r="G253" s="7">
        <v>25</v>
      </c>
      <c r="H253" s="7">
        <v>8</v>
      </c>
      <c r="I253" s="7">
        <v>20</v>
      </c>
    </row>
    <row r="254" spans="1:9">
      <c r="A254" s="7" t="s">
        <v>775</v>
      </c>
      <c r="B254" s="7" t="s">
        <v>1344</v>
      </c>
      <c r="C254" s="7" t="s">
        <v>739</v>
      </c>
      <c r="D254" s="7" t="s">
        <v>29</v>
      </c>
      <c r="E254" s="7" t="s">
        <v>740</v>
      </c>
      <c r="F254" s="7">
        <v>125</v>
      </c>
      <c r="G254" s="7">
        <v>25</v>
      </c>
      <c r="H254" s="7">
        <v>8</v>
      </c>
      <c r="I254" s="7">
        <v>18</v>
      </c>
    </row>
    <row r="255" spans="1:9">
      <c r="A255" s="7" t="s">
        <v>776</v>
      </c>
      <c r="B255" s="7" t="s">
        <v>1345</v>
      </c>
      <c r="C255" s="7" t="s">
        <v>739</v>
      </c>
      <c r="D255" s="7" t="s">
        <v>29</v>
      </c>
      <c r="E255" s="7" t="s">
        <v>740</v>
      </c>
      <c r="F255" s="7">
        <v>150</v>
      </c>
      <c r="G255" s="7">
        <v>25</v>
      </c>
      <c r="H255" s="7">
        <v>8</v>
      </c>
      <c r="I255" s="7">
        <v>16</v>
      </c>
    </row>
    <row r="256" spans="1:9">
      <c r="A256" s="7" t="s">
        <v>777</v>
      </c>
      <c r="B256" s="7" t="s">
        <v>1346</v>
      </c>
      <c r="C256" s="7" t="s">
        <v>739</v>
      </c>
      <c r="D256" s="7" t="s">
        <v>29</v>
      </c>
      <c r="E256" s="7" t="s">
        <v>740</v>
      </c>
      <c r="F256" s="7">
        <v>150</v>
      </c>
      <c r="G256" s="7">
        <v>35</v>
      </c>
      <c r="H256" s="7">
        <v>8</v>
      </c>
      <c r="I256" s="7">
        <v>9</v>
      </c>
    </row>
    <row r="257" spans="1:9">
      <c r="A257" s="7" t="s">
        <v>778</v>
      </c>
      <c r="B257" s="7" t="s">
        <v>1347</v>
      </c>
      <c r="C257" s="7" t="s">
        <v>739</v>
      </c>
      <c r="D257" s="7" t="s">
        <v>29</v>
      </c>
      <c r="E257" s="7" t="s">
        <v>740</v>
      </c>
      <c r="F257" s="7">
        <v>150</v>
      </c>
      <c r="G257" s="7">
        <v>9.5</v>
      </c>
      <c r="H257" s="7">
        <v>7</v>
      </c>
      <c r="I257" s="7">
        <v>16</v>
      </c>
    </row>
    <row r="258" spans="1:9">
      <c r="A258" s="7" t="s">
        <v>779</v>
      </c>
      <c r="B258" s="7" t="s">
        <v>1348</v>
      </c>
      <c r="C258" s="7" t="s">
        <v>739</v>
      </c>
      <c r="D258" s="7" t="s">
        <v>29</v>
      </c>
      <c r="E258" s="7" t="s">
        <v>740</v>
      </c>
      <c r="F258" s="7">
        <v>155.5</v>
      </c>
      <c r="G258" s="7">
        <v>13.5</v>
      </c>
      <c r="H258" s="7">
        <v>5</v>
      </c>
      <c r="I258" s="7">
        <v>16</v>
      </c>
    </row>
    <row r="259" spans="1:9">
      <c r="A259" s="7" t="s">
        <v>780</v>
      </c>
      <c r="B259" s="7" t="s">
        <v>1349</v>
      </c>
      <c r="C259" s="7" t="s">
        <v>739</v>
      </c>
      <c r="D259" s="7" t="s">
        <v>29</v>
      </c>
      <c r="E259" s="7" t="s">
        <v>740</v>
      </c>
      <c r="F259" s="7">
        <v>155.5</v>
      </c>
      <c r="G259" s="7">
        <v>35</v>
      </c>
      <c r="H259" s="7">
        <v>4</v>
      </c>
      <c r="I259" s="7">
        <v>16</v>
      </c>
    </row>
    <row r="260" spans="1:9">
      <c r="A260" s="7" t="s">
        <v>781</v>
      </c>
      <c r="B260" s="7" t="s">
        <v>1350</v>
      </c>
      <c r="C260" s="7" t="s">
        <v>739</v>
      </c>
      <c r="D260" s="7" t="s">
        <v>29</v>
      </c>
      <c r="E260" s="7" t="s">
        <v>740</v>
      </c>
      <c r="F260" s="7">
        <v>155</v>
      </c>
      <c r="G260" s="7">
        <v>13.5</v>
      </c>
      <c r="H260" s="7">
        <v>5</v>
      </c>
      <c r="I260" s="7">
        <v>16</v>
      </c>
    </row>
    <row r="261" spans="1:9">
      <c r="A261" s="7" t="s">
        <v>782</v>
      </c>
      <c r="B261" s="7" t="s">
        <v>1351</v>
      </c>
      <c r="C261" s="7" t="s">
        <v>739</v>
      </c>
      <c r="D261" s="7" t="s">
        <v>29</v>
      </c>
      <c r="E261" s="7" t="s">
        <v>740</v>
      </c>
      <c r="F261" s="7">
        <v>155</v>
      </c>
      <c r="G261" s="7">
        <v>35</v>
      </c>
      <c r="H261" s="7">
        <v>4</v>
      </c>
      <c r="I261" s="7">
        <v>16</v>
      </c>
    </row>
    <row r="262" spans="1:9">
      <c r="A262" s="7" t="s">
        <v>783</v>
      </c>
      <c r="B262" s="7" t="s">
        <v>1352</v>
      </c>
      <c r="C262" s="7" t="s">
        <v>739</v>
      </c>
      <c r="D262" s="7" t="s">
        <v>29</v>
      </c>
      <c r="E262" s="7" t="s">
        <v>740</v>
      </c>
      <c r="F262" s="7">
        <v>35</v>
      </c>
      <c r="G262" s="7">
        <v>13.5</v>
      </c>
      <c r="H262" s="7">
        <v>5</v>
      </c>
      <c r="I262" s="7">
        <v>16</v>
      </c>
    </row>
    <row r="263" spans="1:9">
      <c r="A263" s="7" t="s">
        <v>784</v>
      </c>
      <c r="B263" s="7" t="s">
        <v>1353</v>
      </c>
      <c r="C263" s="7" t="s">
        <v>739</v>
      </c>
      <c r="D263" s="7" t="s">
        <v>29</v>
      </c>
      <c r="E263" s="7" t="s">
        <v>740</v>
      </c>
      <c r="F263" s="7">
        <v>75</v>
      </c>
      <c r="G263" s="7">
        <v>25</v>
      </c>
      <c r="H263" s="7">
        <v>8</v>
      </c>
      <c r="I263" s="7">
        <v>28</v>
      </c>
    </row>
    <row r="264" spans="1:9">
      <c r="A264" s="7" t="s">
        <v>785</v>
      </c>
      <c r="B264" s="7" t="s">
        <v>1354</v>
      </c>
      <c r="C264" s="7" t="s">
        <v>739</v>
      </c>
      <c r="D264" s="7" t="s">
        <v>29</v>
      </c>
      <c r="E264" s="7" t="s">
        <v>742</v>
      </c>
      <c r="F264" s="7">
        <v>90</v>
      </c>
      <c r="G264" s="7">
        <v>12</v>
      </c>
      <c r="H264" s="7">
        <v>12</v>
      </c>
      <c r="I264" s="7">
        <v>40</v>
      </c>
    </row>
    <row r="265" spans="1:9">
      <c r="A265" s="7" t="s">
        <v>786</v>
      </c>
      <c r="B265" s="7" t="s">
        <v>1355</v>
      </c>
      <c r="C265" s="7" t="s">
        <v>739</v>
      </c>
      <c r="D265" s="7" t="s">
        <v>29</v>
      </c>
      <c r="E265" s="7" t="s">
        <v>787</v>
      </c>
      <c r="F265" s="7">
        <v>60</v>
      </c>
      <c r="G265" s="7">
        <v>10</v>
      </c>
      <c r="H265" s="7">
        <v>10</v>
      </c>
      <c r="I265" s="7">
        <v>60</v>
      </c>
    </row>
    <row r="266" spans="1:9">
      <c r="A266" s="7" t="s">
        <v>788</v>
      </c>
      <c r="B266" s="7" t="s">
        <v>1356</v>
      </c>
      <c r="C266" s="7" t="s">
        <v>739</v>
      </c>
      <c r="D266" s="7" t="s">
        <v>29</v>
      </c>
      <c r="E266" s="7" t="s">
        <v>89</v>
      </c>
      <c r="F266" s="7">
        <v>100</v>
      </c>
      <c r="G266" s="7">
        <v>25</v>
      </c>
      <c r="H266" s="7">
        <v>8</v>
      </c>
      <c r="I266" s="7">
        <v>28</v>
      </c>
    </row>
    <row r="267" spans="1:9">
      <c r="A267" s="7" t="s">
        <v>789</v>
      </c>
      <c r="B267" s="7" t="s">
        <v>1357</v>
      </c>
      <c r="C267" s="7" t="s">
        <v>739</v>
      </c>
      <c r="D267" s="7" t="s">
        <v>29</v>
      </c>
      <c r="E267" s="7" t="s">
        <v>74</v>
      </c>
      <c r="F267" s="7">
        <v>100</v>
      </c>
      <c r="G267" s="7">
        <v>12</v>
      </c>
      <c r="H267" s="7">
        <v>12</v>
      </c>
      <c r="I267" s="7">
        <v>32</v>
      </c>
    </row>
    <row r="268" spans="1:9">
      <c r="A268" s="7" t="s">
        <v>790</v>
      </c>
      <c r="B268" s="7" t="s">
        <v>1358</v>
      </c>
      <c r="C268" s="7" t="s">
        <v>739</v>
      </c>
      <c r="D268" s="7" t="s">
        <v>29</v>
      </c>
      <c r="E268" s="7" t="s">
        <v>74</v>
      </c>
      <c r="F268" s="7">
        <v>100</v>
      </c>
      <c r="G268" s="7">
        <v>20</v>
      </c>
      <c r="H268" s="7">
        <v>6</v>
      </c>
      <c r="I268" s="7">
        <v>30</v>
      </c>
    </row>
    <row r="269" spans="1:9">
      <c r="A269" s="7" t="s">
        <v>791</v>
      </c>
      <c r="B269" s="7" t="s">
        <v>1359</v>
      </c>
      <c r="C269" s="7" t="s">
        <v>739</v>
      </c>
      <c r="D269" s="7" t="s">
        <v>29</v>
      </c>
      <c r="E269" s="7" t="s">
        <v>74</v>
      </c>
      <c r="F269" s="7">
        <v>100</v>
      </c>
      <c r="G269" s="7">
        <v>20</v>
      </c>
      <c r="H269" s="7">
        <v>7</v>
      </c>
      <c r="I269" s="7">
        <v>30</v>
      </c>
    </row>
    <row r="270" spans="1:9">
      <c r="A270" s="7" t="s">
        <v>792</v>
      </c>
      <c r="B270" s="7" t="s">
        <v>1360</v>
      </c>
      <c r="C270" s="7" t="s">
        <v>739</v>
      </c>
      <c r="D270" s="7" t="s">
        <v>29</v>
      </c>
      <c r="E270" s="7" t="s">
        <v>74</v>
      </c>
      <c r="F270" s="7">
        <v>100</v>
      </c>
      <c r="G270" s="7">
        <v>20</v>
      </c>
      <c r="H270" s="7">
        <v>8</v>
      </c>
      <c r="I270" s="7">
        <v>24</v>
      </c>
    </row>
    <row r="271" spans="1:9">
      <c r="A271" s="7" t="s">
        <v>793</v>
      </c>
      <c r="B271" s="7" t="s">
        <v>1361</v>
      </c>
      <c r="C271" s="7" t="s">
        <v>739</v>
      </c>
      <c r="D271" s="7" t="s">
        <v>29</v>
      </c>
      <c r="E271" s="7" t="s">
        <v>74</v>
      </c>
      <c r="F271" s="7">
        <v>100</v>
      </c>
      <c r="G271" s="7">
        <v>25</v>
      </c>
      <c r="H271" s="7">
        <v>10</v>
      </c>
      <c r="I271" s="7">
        <v>18</v>
      </c>
    </row>
    <row r="272" spans="1:9">
      <c r="A272" s="7" t="s">
        <v>794</v>
      </c>
      <c r="B272" s="7" t="s">
        <v>1362</v>
      </c>
      <c r="C272" s="7" t="s">
        <v>739</v>
      </c>
      <c r="D272" s="7" t="s">
        <v>29</v>
      </c>
      <c r="E272" s="7" t="s">
        <v>74</v>
      </c>
      <c r="F272" s="7">
        <v>100</v>
      </c>
      <c r="G272" s="7">
        <v>25</v>
      </c>
      <c r="H272" s="7">
        <v>25</v>
      </c>
      <c r="I272" s="7">
        <v>4</v>
      </c>
    </row>
    <row r="273" spans="1:9">
      <c r="A273" s="7" t="s">
        <v>795</v>
      </c>
      <c r="B273" s="7" t="s">
        <v>1363</v>
      </c>
      <c r="C273" s="7" t="s">
        <v>739</v>
      </c>
      <c r="D273" s="7" t="s">
        <v>29</v>
      </c>
      <c r="E273" s="7" t="s">
        <v>74</v>
      </c>
      <c r="F273" s="7">
        <v>100</v>
      </c>
      <c r="G273" s="7">
        <v>25</v>
      </c>
      <c r="H273" s="7">
        <v>8</v>
      </c>
      <c r="I273" s="7">
        <v>20</v>
      </c>
    </row>
    <row r="274" spans="1:9">
      <c r="A274" s="7" t="s">
        <v>796</v>
      </c>
      <c r="B274" s="7" t="s">
        <v>1364</v>
      </c>
      <c r="C274" s="7" t="s">
        <v>739</v>
      </c>
      <c r="D274" s="7" t="s">
        <v>29</v>
      </c>
      <c r="E274" s="7" t="s">
        <v>74</v>
      </c>
      <c r="F274" s="7">
        <v>100</v>
      </c>
      <c r="G274" s="7">
        <v>30</v>
      </c>
      <c r="H274" s="7">
        <v>10</v>
      </c>
      <c r="I274" s="7">
        <v>16</v>
      </c>
    </row>
    <row r="275" spans="1:9">
      <c r="A275" s="7" t="s">
        <v>797</v>
      </c>
      <c r="B275" s="7" t="s">
        <v>1365</v>
      </c>
      <c r="C275" s="7" t="s">
        <v>739</v>
      </c>
      <c r="D275" s="7" t="s">
        <v>29</v>
      </c>
      <c r="E275" s="7" t="s">
        <v>74</v>
      </c>
      <c r="F275" s="7">
        <v>150</v>
      </c>
      <c r="G275" s="7">
        <v>12</v>
      </c>
      <c r="H275" s="7">
        <v>12</v>
      </c>
      <c r="I275" s="7">
        <v>24</v>
      </c>
    </row>
    <row r="276" spans="1:9">
      <c r="A276" s="7" t="s">
        <v>798</v>
      </c>
      <c r="B276" s="7" t="s">
        <v>1366</v>
      </c>
      <c r="C276" s="7" t="s">
        <v>739</v>
      </c>
      <c r="D276" s="7" t="s">
        <v>29</v>
      </c>
      <c r="E276" s="7" t="s">
        <v>74</v>
      </c>
      <c r="F276" s="7">
        <v>150</v>
      </c>
      <c r="G276" s="7">
        <v>25</v>
      </c>
      <c r="H276" s="7">
        <v>10</v>
      </c>
      <c r="I276" s="7">
        <v>12</v>
      </c>
    </row>
    <row r="277" spans="1:9">
      <c r="A277" s="7" t="s">
        <v>799</v>
      </c>
      <c r="B277" s="7" t="s">
        <v>1367</v>
      </c>
      <c r="C277" s="7" t="s">
        <v>739</v>
      </c>
      <c r="D277" s="7" t="s">
        <v>29</v>
      </c>
      <c r="E277" s="7" t="s">
        <v>74</v>
      </c>
      <c r="F277" s="7">
        <v>175</v>
      </c>
      <c r="G277" s="7">
        <v>25</v>
      </c>
      <c r="H277" s="7">
        <v>25</v>
      </c>
      <c r="I277" s="7">
        <v>4</v>
      </c>
    </row>
    <row r="278" spans="1:9">
      <c r="A278" s="7" t="s">
        <v>800</v>
      </c>
      <c r="B278" s="7" t="s">
        <v>1368</v>
      </c>
      <c r="C278" s="7" t="s">
        <v>739</v>
      </c>
      <c r="D278" s="7" t="s">
        <v>29</v>
      </c>
      <c r="E278" s="7" t="s">
        <v>74</v>
      </c>
      <c r="F278" s="7">
        <v>190</v>
      </c>
      <c r="G278" s="7">
        <v>35</v>
      </c>
      <c r="H278" s="7">
        <v>35</v>
      </c>
      <c r="I278" s="7">
        <v>2</v>
      </c>
    </row>
    <row r="279" spans="1:9">
      <c r="A279" s="7" t="s">
        <v>801</v>
      </c>
      <c r="B279" s="7" t="s">
        <v>1369</v>
      </c>
      <c r="C279" s="7" t="s">
        <v>739</v>
      </c>
      <c r="D279" s="7" t="s">
        <v>29</v>
      </c>
      <c r="E279" s="7" t="s">
        <v>74</v>
      </c>
      <c r="F279" s="7">
        <v>200</v>
      </c>
      <c r="G279" s="7">
        <v>25</v>
      </c>
      <c r="H279" s="7">
        <v>10</v>
      </c>
      <c r="I279" s="7">
        <v>10</v>
      </c>
    </row>
    <row r="280" spans="1:9">
      <c r="A280" s="7" t="s">
        <v>802</v>
      </c>
      <c r="B280" s="7" t="s">
        <v>1370</v>
      </c>
      <c r="C280" s="7" t="s">
        <v>739</v>
      </c>
      <c r="D280" s="7" t="s">
        <v>29</v>
      </c>
      <c r="E280" s="7" t="s">
        <v>74</v>
      </c>
      <c r="F280" s="7">
        <v>25</v>
      </c>
      <c r="G280" s="7">
        <v>12</v>
      </c>
      <c r="H280" s="7">
        <v>12</v>
      </c>
      <c r="I280" s="7">
        <v>128</v>
      </c>
    </row>
    <row r="281" spans="1:9">
      <c r="A281" s="7" t="s">
        <v>803</v>
      </c>
      <c r="B281" s="7" t="s">
        <v>1371</v>
      </c>
      <c r="C281" s="7" t="s">
        <v>739</v>
      </c>
      <c r="D281" s="7" t="s">
        <v>29</v>
      </c>
      <c r="E281" s="7" t="s">
        <v>74</v>
      </c>
      <c r="F281" s="7">
        <v>35</v>
      </c>
      <c r="G281" s="7">
        <v>12</v>
      </c>
      <c r="H281" s="7">
        <v>12</v>
      </c>
      <c r="I281" s="7">
        <v>105</v>
      </c>
    </row>
    <row r="282" spans="1:9">
      <c r="A282" s="7" t="s">
        <v>804</v>
      </c>
      <c r="B282" s="7" t="s">
        <v>1372</v>
      </c>
      <c r="C282" s="7" t="s">
        <v>739</v>
      </c>
      <c r="D282" s="7" t="s">
        <v>29</v>
      </c>
      <c r="E282" s="7" t="s">
        <v>74</v>
      </c>
      <c r="F282" s="7">
        <v>50</v>
      </c>
      <c r="G282" s="7">
        <v>12</v>
      </c>
      <c r="H282" s="7">
        <v>12</v>
      </c>
      <c r="I282" s="7">
        <v>64</v>
      </c>
    </row>
    <row r="283" spans="1:9">
      <c r="A283" s="7" t="s">
        <v>805</v>
      </c>
      <c r="B283" s="7" t="s">
        <v>1373</v>
      </c>
      <c r="C283" s="7" t="s">
        <v>739</v>
      </c>
      <c r="D283" s="7" t="s">
        <v>29</v>
      </c>
      <c r="E283" s="7" t="s">
        <v>74</v>
      </c>
      <c r="F283" s="7">
        <v>50</v>
      </c>
      <c r="G283" s="7">
        <v>25</v>
      </c>
      <c r="H283" s="7">
        <v>10</v>
      </c>
      <c r="I283" s="7">
        <v>36</v>
      </c>
    </row>
    <row r="284" spans="1:9">
      <c r="A284" s="7" t="s">
        <v>806</v>
      </c>
      <c r="B284" s="7" t="s">
        <v>1374</v>
      </c>
      <c r="C284" s="7" t="s">
        <v>739</v>
      </c>
      <c r="D284" s="7" t="s">
        <v>29</v>
      </c>
      <c r="E284" s="7" t="s">
        <v>74</v>
      </c>
      <c r="F284" s="7">
        <v>50</v>
      </c>
      <c r="G284" s="7">
        <v>25</v>
      </c>
      <c r="H284" s="7">
        <v>25</v>
      </c>
      <c r="I284" s="7">
        <v>5</v>
      </c>
    </row>
    <row r="285" spans="1:9">
      <c r="A285" s="7" t="s">
        <v>807</v>
      </c>
      <c r="B285" s="7" t="s">
        <v>1375</v>
      </c>
      <c r="C285" s="7" t="s">
        <v>739</v>
      </c>
      <c r="D285" s="7" t="s">
        <v>29</v>
      </c>
      <c r="E285" s="7" t="s">
        <v>74</v>
      </c>
      <c r="F285" s="7">
        <v>70</v>
      </c>
      <c r="G285" s="7">
        <v>50</v>
      </c>
      <c r="H285" s="7">
        <v>50</v>
      </c>
      <c r="I285" s="7">
        <v>2</v>
      </c>
    </row>
    <row r="286" spans="1:9">
      <c r="A286" s="7" t="s">
        <v>808</v>
      </c>
      <c r="B286" s="7" t="s">
        <v>1376</v>
      </c>
      <c r="C286" s="7" t="s">
        <v>739</v>
      </c>
      <c r="D286" s="7" t="s">
        <v>29</v>
      </c>
      <c r="E286" s="7" t="s">
        <v>74</v>
      </c>
      <c r="F286" s="7">
        <v>75</v>
      </c>
      <c r="G286" s="7">
        <v>12</v>
      </c>
      <c r="H286" s="7">
        <v>12</v>
      </c>
      <c r="I286" s="7">
        <v>45</v>
      </c>
    </row>
    <row r="287" spans="1:9">
      <c r="A287" s="7" t="s">
        <v>809</v>
      </c>
      <c r="B287" s="7" t="s">
        <v>1377</v>
      </c>
      <c r="C287" s="7" t="s">
        <v>739</v>
      </c>
      <c r="D287" s="7" t="s">
        <v>29</v>
      </c>
      <c r="E287" s="7" t="s">
        <v>74</v>
      </c>
      <c r="F287" s="7">
        <v>75</v>
      </c>
      <c r="G287" s="7">
        <v>25</v>
      </c>
      <c r="H287" s="7">
        <v>10</v>
      </c>
      <c r="I287" s="7">
        <v>20</v>
      </c>
    </row>
    <row r="288" spans="1:9">
      <c r="A288" s="7" t="s">
        <v>810</v>
      </c>
      <c r="B288" s="7" t="s">
        <v>1378</v>
      </c>
      <c r="C288" s="7" t="s">
        <v>739</v>
      </c>
      <c r="D288" s="7" t="s">
        <v>29</v>
      </c>
      <c r="E288" s="7" t="s">
        <v>74</v>
      </c>
      <c r="F288" s="7">
        <v>75</v>
      </c>
      <c r="G288" s="7">
        <v>25</v>
      </c>
      <c r="H288" s="7">
        <v>25</v>
      </c>
      <c r="I288" s="7">
        <v>7</v>
      </c>
    </row>
    <row r="289" spans="1:9">
      <c r="A289" s="7" t="s">
        <v>811</v>
      </c>
      <c r="B289" s="7" t="s">
        <v>1379</v>
      </c>
      <c r="C289" s="7" t="s">
        <v>739</v>
      </c>
      <c r="D289" s="7" t="s">
        <v>29</v>
      </c>
      <c r="E289" s="7" t="s">
        <v>74</v>
      </c>
      <c r="F289" s="7" t="s">
        <v>475</v>
      </c>
      <c r="G289" s="7">
        <v>28</v>
      </c>
      <c r="H289" s="7">
        <v>12</v>
      </c>
      <c r="I289" s="7">
        <v>16</v>
      </c>
    </row>
    <row r="290" spans="1:9">
      <c r="A290" s="7" t="s">
        <v>812</v>
      </c>
      <c r="B290" s="7" t="s">
        <v>1380</v>
      </c>
      <c r="C290" s="7" t="s">
        <v>739</v>
      </c>
      <c r="D290" s="7" t="s">
        <v>10</v>
      </c>
      <c r="E290" s="7" t="s">
        <v>740</v>
      </c>
      <c r="F290" s="7">
        <v>121.4</v>
      </c>
      <c r="G290" s="7">
        <v>20</v>
      </c>
      <c r="H290" s="7">
        <v>10.199999999999999</v>
      </c>
      <c r="I290" s="7">
        <v>12</v>
      </c>
    </row>
    <row r="291" spans="1:9">
      <c r="A291" s="7" t="s">
        <v>813</v>
      </c>
      <c r="B291" s="7" t="s">
        <v>1381</v>
      </c>
      <c r="C291" s="7" t="s">
        <v>739</v>
      </c>
      <c r="D291" s="7" t="s">
        <v>10</v>
      </c>
      <c r="E291" s="7" t="s">
        <v>740</v>
      </c>
      <c r="F291" s="7">
        <v>132.1</v>
      </c>
      <c r="G291" s="7">
        <v>35.6</v>
      </c>
      <c r="H291" s="7">
        <v>8</v>
      </c>
      <c r="I291" s="7">
        <v>11</v>
      </c>
    </row>
    <row r="292" spans="1:9">
      <c r="A292" s="7" t="s">
        <v>814</v>
      </c>
      <c r="B292" s="7" t="s">
        <v>1382</v>
      </c>
      <c r="C292" s="7" t="s">
        <v>739</v>
      </c>
      <c r="D292" s="7" t="s">
        <v>10</v>
      </c>
      <c r="E292" s="7" t="s">
        <v>740</v>
      </c>
      <c r="F292" s="7">
        <v>61</v>
      </c>
      <c r="G292" s="7">
        <v>40.6</v>
      </c>
      <c r="H292" s="7">
        <v>5</v>
      </c>
      <c r="I292" s="7">
        <v>20</v>
      </c>
    </row>
    <row r="293" spans="1:9">
      <c r="A293" s="7" t="s">
        <v>815</v>
      </c>
      <c r="B293" s="7" t="s">
        <v>1383</v>
      </c>
      <c r="C293" s="7" t="s">
        <v>739</v>
      </c>
      <c r="D293" s="7" t="s">
        <v>10</v>
      </c>
      <c r="E293" s="7" t="s">
        <v>816</v>
      </c>
      <c r="F293" s="7">
        <v>100</v>
      </c>
      <c r="G293" s="7">
        <v>50</v>
      </c>
      <c r="H293" s="7">
        <v>3</v>
      </c>
      <c r="I293" s="7">
        <v>20</v>
      </c>
    </row>
    <row r="294" spans="1:9">
      <c r="A294" s="7" t="s">
        <v>817</v>
      </c>
      <c r="B294" s="7" t="s">
        <v>1384</v>
      </c>
      <c r="C294" s="7" t="s">
        <v>739</v>
      </c>
      <c r="D294" s="7" t="s">
        <v>10</v>
      </c>
      <c r="E294" s="7" t="s">
        <v>818</v>
      </c>
      <c r="F294" s="7">
        <v>104.1</v>
      </c>
      <c r="G294" s="7">
        <v>68.599999999999994</v>
      </c>
      <c r="H294" s="7">
        <v>4</v>
      </c>
      <c r="I294" s="7">
        <v>12</v>
      </c>
    </row>
    <row r="295" spans="1:9">
      <c r="A295" s="7" t="s">
        <v>819</v>
      </c>
      <c r="B295" s="7" t="s">
        <v>1385</v>
      </c>
      <c r="C295" s="7" t="s">
        <v>739</v>
      </c>
      <c r="D295" s="7" t="s">
        <v>10</v>
      </c>
      <c r="E295" s="7" t="s">
        <v>818</v>
      </c>
      <c r="F295" s="7">
        <v>106.7</v>
      </c>
      <c r="G295" s="7">
        <v>61</v>
      </c>
      <c r="H295" s="7">
        <v>5</v>
      </c>
      <c r="I295" s="7">
        <v>10</v>
      </c>
    </row>
    <row r="296" spans="1:9">
      <c r="A296" s="7" t="s">
        <v>820</v>
      </c>
      <c r="B296" s="7" t="s">
        <v>1386</v>
      </c>
      <c r="C296" s="7" t="s">
        <v>739</v>
      </c>
      <c r="D296" s="7" t="s">
        <v>10</v>
      </c>
      <c r="E296" s="7" t="s">
        <v>818</v>
      </c>
      <c r="F296" s="7">
        <v>106.7</v>
      </c>
      <c r="G296" s="7">
        <v>68.599999999999994</v>
      </c>
      <c r="H296" s="7">
        <v>4</v>
      </c>
      <c r="I296" s="7">
        <v>10</v>
      </c>
    </row>
    <row r="297" spans="1:9">
      <c r="A297" s="7" t="s">
        <v>821</v>
      </c>
      <c r="B297" s="7" t="s">
        <v>1387</v>
      </c>
      <c r="C297" s="7" t="s">
        <v>739</v>
      </c>
      <c r="D297" s="7" t="s">
        <v>10</v>
      </c>
      <c r="E297" s="7" t="s">
        <v>822</v>
      </c>
      <c r="F297" s="7">
        <v>12.7</v>
      </c>
      <c r="G297" s="7">
        <v>7.6</v>
      </c>
      <c r="H297" s="7">
        <v>3</v>
      </c>
      <c r="I297" s="7">
        <v>60</v>
      </c>
    </row>
    <row r="298" spans="1:9">
      <c r="A298" s="7" t="s">
        <v>823</v>
      </c>
      <c r="B298" s="7" t="s">
        <v>1388</v>
      </c>
      <c r="C298" s="7" t="s">
        <v>739</v>
      </c>
      <c r="D298" s="7" t="s">
        <v>10</v>
      </c>
      <c r="E298" s="7" t="s">
        <v>818</v>
      </c>
      <c r="F298" s="7">
        <v>121.4</v>
      </c>
      <c r="G298" s="7">
        <v>32.5</v>
      </c>
      <c r="H298" s="7">
        <v>3</v>
      </c>
      <c r="I298" s="7">
        <v>33</v>
      </c>
    </row>
    <row r="299" spans="1:9">
      <c r="A299" s="7" t="s">
        <v>824</v>
      </c>
      <c r="B299" s="7" t="s">
        <v>1389</v>
      </c>
      <c r="C299" s="7" t="s">
        <v>739</v>
      </c>
      <c r="D299" s="7" t="s">
        <v>10</v>
      </c>
      <c r="E299" s="7" t="s">
        <v>818</v>
      </c>
      <c r="F299" s="7">
        <v>121.4</v>
      </c>
      <c r="G299" s="7">
        <v>41.8</v>
      </c>
      <c r="H299" s="7">
        <v>3</v>
      </c>
      <c r="I299" s="7">
        <v>33</v>
      </c>
    </row>
    <row r="300" spans="1:9">
      <c r="A300" s="7" t="s">
        <v>825</v>
      </c>
      <c r="B300" s="7" t="s">
        <v>1390</v>
      </c>
      <c r="C300" s="7" t="s">
        <v>739</v>
      </c>
      <c r="D300" s="7" t="s">
        <v>10</v>
      </c>
      <c r="E300" s="7" t="s">
        <v>818</v>
      </c>
      <c r="F300" s="7">
        <v>121.4</v>
      </c>
      <c r="G300" s="7">
        <v>63.3</v>
      </c>
      <c r="H300" s="7">
        <v>3</v>
      </c>
      <c r="I300" s="7">
        <v>23</v>
      </c>
    </row>
    <row r="301" spans="1:9">
      <c r="A301" s="7" t="s">
        <v>826</v>
      </c>
      <c r="B301" s="7" t="s">
        <v>1391</v>
      </c>
      <c r="C301" s="7" t="s">
        <v>739</v>
      </c>
      <c r="D301" s="7" t="s">
        <v>10</v>
      </c>
      <c r="E301" s="7" t="s">
        <v>818</v>
      </c>
      <c r="F301" s="7">
        <v>121.4</v>
      </c>
      <c r="G301" s="7">
        <v>67.5</v>
      </c>
      <c r="H301" s="7">
        <v>3</v>
      </c>
      <c r="I301" s="7">
        <v>23</v>
      </c>
    </row>
    <row r="302" spans="1:9">
      <c r="A302" s="7" t="s">
        <v>827</v>
      </c>
      <c r="B302" s="7" t="s">
        <v>1392</v>
      </c>
      <c r="C302" s="7" t="s">
        <v>739</v>
      </c>
      <c r="D302" s="7" t="s">
        <v>10</v>
      </c>
      <c r="E302" s="7" t="s">
        <v>818</v>
      </c>
      <c r="F302" s="7">
        <v>121.9</v>
      </c>
      <c r="G302" s="7">
        <v>68.599999999999994</v>
      </c>
      <c r="H302" s="7">
        <v>8</v>
      </c>
      <c r="I302" s="7">
        <v>6</v>
      </c>
    </row>
    <row r="303" spans="1:9">
      <c r="A303" s="7" t="s">
        <v>828</v>
      </c>
      <c r="B303" s="7" t="s">
        <v>1393</v>
      </c>
      <c r="C303" s="7" t="s">
        <v>739</v>
      </c>
      <c r="D303" s="7" t="s">
        <v>10</v>
      </c>
      <c r="E303" s="7" t="s">
        <v>818</v>
      </c>
      <c r="F303" s="7">
        <v>149.5</v>
      </c>
      <c r="G303" s="7">
        <v>61</v>
      </c>
      <c r="H303" s="7">
        <v>8</v>
      </c>
      <c r="I303" s="7">
        <v>5</v>
      </c>
    </row>
    <row r="304" spans="1:9">
      <c r="A304" s="7" t="s">
        <v>829</v>
      </c>
      <c r="B304" s="7" t="s">
        <v>1394</v>
      </c>
      <c r="C304" s="7" t="s">
        <v>739</v>
      </c>
      <c r="D304" s="7" t="s">
        <v>10</v>
      </c>
      <c r="E304" s="7" t="s">
        <v>818</v>
      </c>
      <c r="F304" s="7">
        <v>152.4</v>
      </c>
      <c r="G304" s="7">
        <v>62.2</v>
      </c>
      <c r="H304" s="7">
        <v>10</v>
      </c>
      <c r="I304" s="7">
        <v>4</v>
      </c>
    </row>
    <row r="305" spans="1:9">
      <c r="A305" s="7" t="s">
        <v>830</v>
      </c>
      <c r="B305" s="7" t="s">
        <v>1395</v>
      </c>
      <c r="C305" s="7" t="s">
        <v>739</v>
      </c>
      <c r="D305" s="7" t="s">
        <v>10</v>
      </c>
      <c r="E305" s="7" t="s">
        <v>818</v>
      </c>
      <c r="F305" s="7">
        <v>152.4</v>
      </c>
      <c r="G305" s="7">
        <v>66</v>
      </c>
      <c r="H305" s="7">
        <v>4</v>
      </c>
      <c r="I305" s="7">
        <v>7</v>
      </c>
    </row>
    <row r="306" spans="1:9">
      <c r="A306" s="7" t="s">
        <v>831</v>
      </c>
      <c r="B306" s="7" t="s">
        <v>1396</v>
      </c>
      <c r="C306" s="7" t="s">
        <v>739</v>
      </c>
      <c r="D306" s="7" t="s">
        <v>10</v>
      </c>
      <c r="E306" s="7" t="s">
        <v>832</v>
      </c>
      <c r="F306" s="7">
        <v>20</v>
      </c>
      <c r="G306" s="7">
        <v>6</v>
      </c>
      <c r="H306" s="7">
        <v>2</v>
      </c>
      <c r="I306" s="7">
        <v>40</v>
      </c>
    </row>
    <row r="307" spans="1:9">
      <c r="A307" s="7" t="s">
        <v>833</v>
      </c>
      <c r="B307" s="7" t="s">
        <v>1397</v>
      </c>
      <c r="C307" s="7" t="s">
        <v>739</v>
      </c>
      <c r="D307" s="7" t="s">
        <v>10</v>
      </c>
      <c r="E307" s="7" t="s">
        <v>834</v>
      </c>
      <c r="F307" s="7">
        <v>30</v>
      </c>
      <c r="G307" s="7">
        <v>30</v>
      </c>
      <c r="H307" s="7">
        <v>3</v>
      </c>
      <c r="I307" s="7">
        <v>100</v>
      </c>
    </row>
    <row r="308" spans="1:9">
      <c r="A308" s="7" t="s">
        <v>835</v>
      </c>
      <c r="B308" s="7" t="s">
        <v>1398</v>
      </c>
      <c r="C308" s="7" t="s">
        <v>739</v>
      </c>
      <c r="D308" s="7" t="s">
        <v>10</v>
      </c>
      <c r="E308" s="7" t="s">
        <v>818</v>
      </c>
      <c r="F308" s="7">
        <v>37.6</v>
      </c>
      <c r="G308" s="7">
        <v>31.6</v>
      </c>
      <c r="H308" s="7">
        <v>3</v>
      </c>
      <c r="I308" s="7">
        <v>33</v>
      </c>
    </row>
    <row r="309" spans="1:9">
      <c r="A309" s="7" t="s">
        <v>836</v>
      </c>
      <c r="B309" s="7" t="s">
        <v>1399</v>
      </c>
      <c r="C309" s="7" t="s">
        <v>739</v>
      </c>
      <c r="D309" s="7" t="s">
        <v>10</v>
      </c>
      <c r="E309" s="7" t="s">
        <v>822</v>
      </c>
      <c r="F309" s="7">
        <v>39</v>
      </c>
      <c r="G309" s="7">
        <v>19.5</v>
      </c>
      <c r="H309" s="7">
        <v>6</v>
      </c>
      <c r="I309" s="7">
        <v>96</v>
      </c>
    </row>
    <row r="310" spans="1:9">
      <c r="A310" s="7" t="s">
        <v>837</v>
      </c>
      <c r="B310" s="7" t="s">
        <v>1400</v>
      </c>
      <c r="C310" s="7" t="s">
        <v>739</v>
      </c>
      <c r="D310" s="7" t="s">
        <v>10</v>
      </c>
      <c r="E310" s="7" t="s">
        <v>818</v>
      </c>
      <c r="F310" s="7">
        <v>41.8</v>
      </c>
      <c r="G310" s="7">
        <v>29.4</v>
      </c>
      <c r="H310" s="7">
        <v>3</v>
      </c>
      <c r="I310" s="7">
        <v>33</v>
      </c>
    </row>
    <row r="311" spans="1:9">
      <c r="A311" s="7" t="s">
        <v>838</v>
      </c>
      <c r="B311" s="7" t="s">
        <v>1401</v>
      </c>
      <c r="C311" s="7" t="s">
        <v>739</v>
      </c>
      <c r="D311" s="7" t="s">
        <v>10</v>
      </c>
      <c r="E311" s="7" t="s">
        <v>818</v>
      </c>
      <c r="F311" s="7">
        <v>41.8</v>
      </c>
      <c r="G311" s="7">
        <v>39.5</v>
      </c>
      <c r="H311" s="7">
        <v>3</v>
      </c>
      <c r="I311" s="7">
        <v>33</v>
      </c>
    </row>
    <row r="312" spans="1:9">
      <c r="A312" s="7" t="s">
        <v>839</v>
      </c>
      <c r="B312" s="7" t="s">
        <v>1402</v>
      </c>
      <c r="C312" s="7" t="s">
        <v>739</v>
      </c>
      <c r="D312" s="7" t="s">
        <v>10</v>
      </c>
      <c r="E312" s="7" t="s">
        <v>840</v>
      </c>
      <c r="F312" s="7">
        <v>45.7</v>
      </c>
      <c r="G312" s="7">
        <v>91.4</v>
      </c>
      <c r="H312" s="7">
        <v>2</v>
      </c>
      <c r="I312" s="7">
        <v>25</v>
      </c>
    </row>
    <row r="313" spans="1:9">
      <c r="A313" s="7" t="s">
        <v>841</v>
      </c>
      <c r="B313" s="7" t="s">
        <v>1403</v>
      </c>
      <c r="C313" s="7" t="s">
        <v>739</v>
      </c>
      <c r="D313" s="7" t="s">
        <v>10</v>
      </c>
      <c r="E313" s="7" t="s">
        <v>840</v>
      </c>
      <c r="F313" s="7">
        <v>45.7</v>
      </c>
      <c r="G313" s="7">
        <v>91.4</v>
      </c>
      <c r="H313" s="7">
        <v>4</v>
      </c>
      <c r="I313" s="7">
        <v>15</v>
      </c>
    </row>
    <row r="314" spans="1:9">
      <c r="A314" s="7" t="s">
        <v>842</v>
      </c>
      <c r="B314" s="7" t="s">
        <v>1404</v>
      </c>
      <c r="C314" s="7" t="s">
        <v>739</v>
      </c>
      <c r="D314" s="7" t="s">
        <v>10</v>
      </c>
      <c r="E314" s="7" t="s">
        <v>834</v>
      </c>
      <c r="F314" s="7">
        <v>45</v>
      </c>
      <c r="G314" s="7">
        <v>90</v>
      </c>
      <c r="H314" s="7">
        <v>3</v>
      </c>
      <c r="I314" s="7">
        <v>30</v>
      </c>
    </row>
    <row r="315" spans="1:9">
      <c r="A315" s="7" t="s">
        <v>843</v>
      </c>
      <c r="B315" s="7" t="s">
        <v>1405</v>
      </c>
      <c r="C315" s="7" t="s">
        <v>739</v>
      </c>
      <c r="D315" s="7" t="s">
        <v>10</v>
      </c>
      <c r="E315" s="7" t="s">
        <v>822</v>
      </c>
      <c r="F315" s="7">
        <v>50</v>
      </c>
      <c r="G315" s="7">
        <v>50</v>
      </c>
      <c r="H315" s="7">
        <v>4</v>
      </c>
      <c r="I315" s="7">
        <v>2</v>
      </c>
    </row>
    <row r="316" spans="1:9">
      <c r="A316" s="7" t="s">
        <v>844</v>
      </c>
      <c r="B316" s="7" t="s">
        <v>1406</v>
      </c>
      <c r="C316" s="7" t="s">
        <v>739</v>
      </c>
      <c r="D316" s="7" t="s">
        <v>10</v>
      </c>
      <c r="E316" s="7" t="s">
        <v>834</v>
      </c>
      <c r="F316" s="7">
        <v>60</v>
      </c>
      <c r="G316" s="7">
        <v>30</v>
      </c>
      <c r="H316" s="7">
        <v>3</v>
      </c>
      <c r="I316" s="7">
        <v>60</v>
      </c>
    </row>
    <row r="317" spans="1:9">
      <c r="A317" s="7" t="s">
        <v>845</v>
      </c>
      <c r="B317" s="7" t="s">
        <v>1407</v>
      </c>
      <c r="C317" s="7" t="s">
        <v>739</v>
      </c>
      <c r="D317" s="7" t="s">
        <v>10</v>
      </c>
      <c r="E317" s="7" t="s">
        <v>846</v>
      </c>
      <c r="F317" s="7">
        <v>60</v>
      </c>
      <c r="G317" s="7">
        <v>60</v>
      </c>
      <c r="H317" s="7">
        <v>3</v>
      </c>
      <c r="I317" s="7">
        <v>13</v>
      </c>
    </row>
    <row r="318" spans="1:9">
      <c r="A318" s="7" t="s">
        <v>847</v>
      </c>
      <c r="B318" s="7" t="s">
        <v>1408</v>
      </c>
      <c r="C318" s="7" t="s">
        <v>739</v>
      </c>
      <c r="D318" s="7" t="s">
        <v>10</v>
      </c>
      <c r="E318" s="7" t="s">
        <v>840</v>
      </c>
      <c r="F318" s="7">
        <v>61</v>
      </c>
      <c r="G318" s="7">
        <v>121.9</v>
      </c>
      <c r="H318" s="7">
        <v>2</v>
      </c>
      <c r="I318" s="7">
        <v>18</v>
      </c>
    </row>
    <row r="319" spans="1:9">
      <c r="A319" s="7" t="s">
        <v>848</v>
      </c>
      <c r="B319" s="7" t="s">
        <v>1409</v>
      </c>
      <c r="C319" s="7" t="s">
        <v>739</v>
      </c>
      <c r="D319" s="7" t="s">
        <v>10</v>
      </c>
      <c r="E319" s="7" t="s">
        <v>840</v>
      </c>
      <c r="F319" s="7">
        <v>61</v>
      </c>
      <c r="G319" s="7">
        <v>121.9</v>
      </c>
      <c r="H319" s="7">
        <v>4</v>
      </c>
      <c r="I319" s="7">
        <v>10</v>
      </c>
    </row>
    <row r="320" spans="1:9">
      <c r="A320" s="7" t="s">
        <v>849</v>
      </c>
      <c r="B320" s="7" t="s">
        <v>1410</v>
      </c>
      <c r="C320" s="7" t="s">
        <v>739</v>
      </c>
      <c r="D320" s="7" t="s">
        <v>10</v>
      </c>
      <c r="E320" s="7" t="s">
        <v>850</v>
      </c>
      <c r="F320" s="7">
        <v>61</v>
      </c>
      <c r="G320" s="7">
        <v>40.6</v>
      </c>
      <c r="H320" s="7">
        <v>1.5</v>
      </c>
      <c r="I320" s="7">
        <v>68</v>
      </c>
    </row>
    <row r="321" spans="1:9">
      <c r="A321" s="7" t="s">
        <v>851</v>
      </c>
      <c r="B321" s="7" t="s">
        <v>1411</v>
      </c>
      <c r="C321" s="7" t="s">
        <v>739</v>
      </c>
      <c r="D321" s="7" t="s">
        <v>10</v>
      </c>
      <c r="E321" s="7" t="s">
        <v>822</v>
      </c>
      <c r="F321" s="7">
        <v>61</v>
      </c>
      <c r="G321" s="7">
        <v>40.6</v>
      </c>
      <c r="H321" s="7">
        <v>3</v>
      </c>
      <c r="I321" s="7">
        <v>34</v>
      </c>
    </row>
    <row r="322" spans="1:9">
      <c r="A322" s="7" t="s">
        <v>852</v>
      </c>
      <c r="B322" s="7" t="s">
        <v>1412</v>
      </c>
      <c r="C322" s="7" t="s">
        <v>739</v>
      </c>
      <c r="D322" s="7" t="s">
        <v>10</v>
      </c>
      <c r="E322" s="7" t="s">
        <v>818</v>
      </c>
      <c r="F322" s="7">
        <v>63.3</v>
      </c>
      <c r="G322" s="7">
        <v>29.4</v>
      </c>
      <c r="H322" s="7">
        <v>3</v>
      </c>
      <c r="I322" s="7">
        <v>33</v>
      </c>
    </row>
    <row r="323" spans="1:9">
      <c r="A323" s="7" t="s">
        <v>853</v>
      </c>
      <c r="B323" s="7" t="s">
        <v>1413</v>
      </c>
      <c r="C323" s="7" t="s">
        <v>739</v>
      </c>
      <c r="D323" s="7" t="s">
        <v>10</v>
      </c>
      <c r="E323" s="7" t="s">
        <v>818</v>
      </c>
      <c r="F323" s="7">
        <v>63.3</v>
      </c>
      <c r="G323" s="7">
        <v>39.5</v>
      </c>
      <c r="H323" s="7">
        <v>3</v>
      </c>
      <c r="I323" s="7">
        <v>33</v>
      </c>
    </row>
    <row r="324" spans="1:9">
      <c r="A324" s="7" t="s">
        <v>854</v>
      </c>
      <c r="B324" s="7" t="s">
        <v>1414</v>
      </c>
      <c r="C324" s="7" t="s">
        <v>739</v>
      </c>
      <c r="D324" s="7" t="s">
        <v>10</v>
      </c>
      <c r="E324" s="7" t="s">
        <v>818</v>
      </c>
      <c r="F324" s="7">
        <v>71.900000000000006</v>
      </c>
      <c r="G324" s="7">
        <v>63.3</v>
      </c>
      <c r="H324" s="7">
        <v>3</v>
      </c>
      <c r="I324" s="7">
        <v>27</v>
      </c>
    </row>
    <row r="325" spans="1:9">
      <c r="A325" s="7" t="s">
        <v>855</v>
      </c>
      <c r="B325" s="7" t="s">
        <v>1415</v>
      </c>
      <c r="C325" s="7" t="s">
        <v>739</v>
      </c>
      <c r="D325" s="7" t="s">
        <v>10</v>
      </c>
      <c r="E325" s="7" t="s">
        <v>818</v>
      </c>
      <c r="F325" s="7">
        <v>74.8</v>
      </c>
      <c r="G325" s="7">
        <v>47.1</v>
      </c>
      <c r="H325" s="7">
        <v>5</v>
      </c>
      <c r="I325" s="7">
        <v>10</v>
      </c>
    </row>
    <row r="326" spans="1:9">
      <c r="A326" s="7" t="s">
        <v>856</v>
      </c>
      <c r="B326" s="7" t="s">
        <v>1416</v>
      </c>
      <c r="C326" s="7" t="s">
        <v>739</v>
      </c>
      <c r="D326" s="7" t="s">
        <v>10</v>
      </c>
      <c r="E326" s="7" t="s">
        <v>818</v>
      </c>
      <c r="F326" s="7">
        <v>91</v>
      </c>
      <c r="G326" s="7">
        <v>19.5</v>
      </c>
      <c r="H326" s="7">
        <v>3</v>
      </c>
      <c r="I326" s="7">
        <v>33</v>
      </c>
    </row>
    <row r="327" spans="1:9">
      <c r="A327" s="7" t="s">
        <v>857</v>
      </c>
      <c r="B327" s="7" t="s">
        <v>1417</v>
      </c>
      <c r="C327" s="7" t="s">
        <v>739</v>
      </c>
      <c r="D327" s="7" t="s">
        <v>10</v>
      </c>
      <c r="E327" s="7" t="s">
        <v>818</v>
      </c>
      <c r="F327" s="7">
        <v>91</v>
      </c>
      <c r="G327" s="7">
        <v>63.3</v>
      </c>
      <c r="H327" s="7">
        <v>3</v>
      </c>
      <c r="I327" s="7">
        <v>27</v>
      </c>
    </row>
    <row r="328" spans="1:9">
      <c r="A328" s="7" t="s">
        <v>858</v>
      </c>
      <c r="B328" s="7" t="s">
        <v>1418</v>
      </c>
      <c r="C328" s="7" t="s">
        <v>739</v>
      </c>
      <c r="D328" s="7" t="s">
        <v>10</v>
      </c>
      <c r="E328" s="7" t="s">
        <v>818</v>
      </c>
      <c r="F328" s="7">
        <v>95.3</v>
      </c>
      <c r="G328" s="7">
        <v>54.6</v>
      </c>
      <c r="H328" s="7">
        <v>5</v>
      </c>
      <c r="I328" s="7">
        <v>10</v>
      </c>
    </row>
    <row r="329" spans="1:9">
      <c r="A329" s="7" t="s">
        <v>859</v>
      </c>
      <c r="B329" s="7" t="s">
        <v>1419</v>
      </c>
      <c r="C329" s="7" t="s">
        <v>739</v>
      </c>
      <c r="D329" s="7" t="s">
        <v>10</v>
      </c>
      <c r="E329" s="7" t="s">
        <v>818</v>
      </c>
      <c r="F329" s="7">
        <v>95.3</v>
      </c>
      <c r="G329" s="7">
        <v>57.2</v>
      </c>
      <c r="H329" s="7">
        <v>5</v>
      </c>
      <c r="I329" s="7">
        <v>10</v>
      </c>
    </row>
    <row r="330" spans="1:9">
      <c r="A330" s="7" t="s">
        <v>860</v>
      </c>
      <c r="B330" s="7" t="s">
        <v>1420</v>
      </c>
      <c r="C330" s="7" t="s">
        <v>739</v>
      </c>
      <c r="D330" s="7" t="s">
        <v>10</v>
      </c>
      <c r="E330" s="7" t="s">
        <v>818</v>
      </c>
      <c r="F330" s="7">
        <v>99.5</v>
      </c>
      <c r="G330" s="7">
        <v>45.2</v>
      </c>
      <c r="H330" s="7">
        <v>5</v>
      </c>
      <c r="I330" s="7">
        <v>10</v>
      </c>
    </row>
    <row r="331" spans="1:9">
      <c r="A331" s="7" t="s">
        <v>861</v>
      </c>
      <c r="B331" s="7" t="s">
        <v>1421</v>
      </c>
      <c r="C331" s="7" t="s">
        <v>739</v>
      </c>
      <c r="D331" s="7" t="s">
        <v>10</v>
      </c>
      <c r="E331" s="7" t="s">
        <v>751</v>
      </c>
      <c r="F331" s="7" t="s">
        <v>470</v>
      </c>
      <c r="G331" s="7" t="s">
        <v>470</v>
      </c>
      <c r="H331" s="7">
        <v>2</v>
      </c>
      <c r="I331" s="7">
        <v>10</v>
      </c>
    </row>
    <row r="332" spans="1:9">
      <c r="A332" s="7" t="s">
        <v>862</v>
      </c>
      <c r="B332" s="7" t="s">
        <v>1422</v>
      </c>
      <c r="C332" s="7" t="s">
        <v>739</v>
      </c>
      <c r="D332" s="7" t="s">
        <v>10</v>
      </c>
      <c r="E332" s="7" t="s">
        <v>751</v>
      </c>
      <c r="F332" s="7">
        <v>30</v>
      </c>
      <c r="G332" s="7">
        <v>30</v>
      </c>
      <c r="H332" s="7">
        <v>6</v>
      </c>
      <c r="I332" s="7">
        <v>84</v>
      </c>
    </row>
    <row r="333" spans="1:9">
      <c r="A333" s="7" t="s">
        <v>863</v>
      </c>
      <c r="B333" s="7" t="s">
        <v>1423</v>
      </c>
      <c r="C333" s="7" t="s">
        <v>739</v>
      </c>
      <c r="D333" s="7" t="s">
        <v>10</v>
      </c>
      <c r="E333" s="7" t="s">
        <v>751</v>
      </c>
      <c r="F333" s="7">
        <v>60</v>
      </c>
      <c r="G333" s="7">
        <v>30</v>
      </c>
      <c r="H333" s="7">
        <v>6</v>
      </c>
      <c r="I333" s="7">
        <v>42</v>
      </c>
    </row>
    <row r="334" spans="1:9">
      <c r="A334" s="7" t="s">
        <v>864</v>
      </c>
      <c r="B334" s="7" t="s">
        <v>1424</v>
      </c>
      <c r="C334" s="7" t="s">
        <v>739</v>
      </c>
      <c r="D334" s="7" t="s">
        <v>10</v>
      </c>
      <c r="E334" s="7" t="s">
        <v>751</v>
      </c>
      <c r="F334" s="7">
        <v>60</v>
      </c>
      <c r="G334" s="7">
        <v>40</v>
      </c>
      <c r="H334" s="7">
        <v>6</v>
      </c>
      <c r="I334" s="7">
        <v>28</v>
      </c>
    </row>
    <row r="335" spans="1:9">
      <c r="A335" s="7" t="s">
        <v>865</v>
      </c>
      <c r="B335" s="7" t="s">
        <v>1425</v>
      </c>
      <c r="C335" s="7" t="s">
        <v>739</v>
      </c>
      <c r="D335" s="7" t="s">
        <v>10</v>
      </c>
      <c r="E335" s="7" t="s">
        <v>751</v>
      </c>
      <c r="F335" s="7">
        <v>90</v>
      </c>
      <c r="G335" s="7">
        <v>45</v>
      </c>
      <c r="H335" s="7">
        <v>6</v>
      </c>
      <c r="I335" s="7">
        <v>16</v>
      </c>
    </row>
    <row r="336" spans="1:9">
      <c r="A336" s="7" t="s">
        <v>866</v>
      </c>
      <c r="B336" s="7" t="s">
        <v>1426</v>
      </c>
      <c r="C336" s="7" t="s">
        <v>739</v>
      </c>
      <c r="D336" s="7" t="s">
        <v>10</v>
      </c>
      <c r="E336" s="7" t="s">
        <v>867</v>
      </c>
      <c r="F336" s="7">
        <v>12.7</v>
      </c>
      <c r="G336" s="7">
        <v>7.6</v>
      </c>
      <c r="H336" s="7">
        <v>5</v>
      </c>
      <c r="I336" s="7">
        <v>60</v>
      </c>
    </row>
    <row r="337" spans="1:9">
      <c r="A337" s="7" t="s">
        <v>868</v>
      </c>
      <c r="B337" s="7" t="s">
        <v>1427</v>
      </c>
      <c r="C337" s="7" t="s">
        <v>739</v>
      </c>
      <c r="D337" s="7" t="s">
        <v>10</v>
      </c>
      <c r="E337" s="7" t="s">
        <v>869</v>
      </c>
      <c r="F337" s="7">
        <v>106.7</v>
      </c>
      <c r="G337" s="7">
        <v>45.7</v>
      </c>
      <c r="H337" s="7">
        <v>2</v>
      </c>
      <c r="I337" s="7">
        <v>40</v>
      </c>
    </row>
    <row r="338" spans="1:9">
      <c r="A338" s="7" t="s">
        <v>870</v>
      </c>
      <c r="B338" s="7" t="s">
        <v>1428</v>
      </c>
      <c r="C338" s="7" t="s">
        <v>739</v>
      </c>
      <c r="D338" s="7" t="s">
        <v>10</v>
      </c>
      <c r="E338" s="7" t="s">
        <v>869</v>
      </c>
      <c r="F338" s="7">
        <v>113.7</v>
      </c>
      <c r="G338" s="7">
        <v>15.2</v>
      </c>
      <c r="H338" s="7">
        <v>2</v>
      </c>
      <c r="I338" s="7">
        <v>60</v>
      </c>
    </row>
    <row r="339" spans="1:9">
      <c r="A339" s="7" t="s">
        <v>871</v>
      </c>
      <c r="B339" s="7" t="s">
        <v>1429</v>
      </c>
      <c r="C339" s="7" t="s">
        <v>739</v>
      </c>
      <c r="D339" s="7" t="s">
        <v>10</v>
      </c>
      <c r="E339" s="7" t="s">
        <v>872</v>
      </c>
      <c r="F339" s="7">
        <v>113.7</v>
      </c>
      <c r="G339" s="7">
        <v>29.8</v>
      </c>
      <c r="H339" s="7">
        <v>2</v>
      </c>
      <c r="I339" s="7">
        <v>34</v>
      </c>
    </row>
    <row r="340" spans="1:9">
      <c r="A340" s="7" t="s">
        <v>873</v>
      </c>
      <c r="B340" s="7" t="s">
        <v>1430</v>
      </c>
      <c r="C340" s="7" t="s">
        <v>739</v>
      </c>
      <c r="D340" s="7" t="s">
        <v>10</v>
      </c>
      <c r="E340" s="7" t="s">
        <v>869</v>
      </c>
      <c r="F340" s="7">
        <v>116.2</v>
      </c>
      <c r="G340" s="7">
        <v>15.2</v>
      </c>
      <c r="H340" s="7">
        <v>2</v>
      </c>
      <c r="I340" s="7">
        <v>60</v>
      </c>
    </row>
    <row r="341" spans="1:9">
      <c r="A341" s="7" t="s">
        <v>874</v>
      </c>
      <c r="B341" s="7" t="s">
        <v>1431</v>
      </c>
      <c r="C341" s="7" t="s">
        <v>739</v>
      </c>
      <c r="D341" s="7" t="s">
        <v>10</v>
      </c>
      <c r="E341" s="7" t="s">
        <v>872</v>
      </c>
      <c r="F341" s="7">
        <v>116.2</v>
      </c>
      <c r="G341" s="7">
        <v>29.8</v>
      </c>
      <c r="H341" s="7">
        <v>2</v>
      </c>
      <c r="I341" s="7">
        <v>34</v>
      </c>
    </row>
    <row r="342" spans="1:9">
      <c r="A342" s="7" t="s">
        <v>875</v>
      </c>
      <c r="B342" s="7" t="s">
        <v>1432</v>
      </c>
      <c r="C342" s="7" t="s">
        <v>739</v>
      </c>
      <c r="D342" s="7" t="s">
        <v>10</v>
      </c>
      <c r="E342" s="7" t="s">
        <v>872</v>
      </c>
      <c r="F342" s="7">
        <v>128.9</v>
      </c>
      <c r="G342" s="7">
        <v>29.8</v>
      </c>
      <c r="H342" s="7">
        <v>2</v>
      </c>
      <c r="I342" s="7">
        <v>34</v>
      </c>
    </row>
    <row r="343" spans="1:9">
      <c r="A343" s="7" t="s">
        <v>876</v>
      </c>
      <c r="B343" s="7" t="s">
        <v>1433</v>
      </c>
      <c r="C343" s="7" t="s">
        <v>739</v>
      </c>
      <c r="D343" s="7" t="s">
        <v>10</v>
      </c>
      <c r="E343" s="7" t="s">
        <v>872</v>
      </c>
      <c r="F343" s="7">
        <v>131.4</v>
      </c>
      <c r="G343" s="7">
        <v>29.8</v>
      </c>
      <c r="H343" s="7">
        <v>2</v>
      </c>
      <c r="I343" s="7">
        <v>34</v>
      </c>
    </row>
    <row r="344" spans="1:9">
      <c r="A344" s="7" t="s">
        <v>877</v>
      </c>
      <c r="B344" s="7" t="s">
        <v>1434</v>
      </c>
      <c r="C344" s="7" t="s">
        <v>739</v>
      </c>
      <c r="D344" s="7" t="s">
        <v>10</v>
      </c>
      <c r="E344" s="7" t="s">
        <v>869</v>
      </c>
      <c r="F344" s="7">
        <v>148.9</v>
      </c>
      <c r="G344" s="7">
        <v>15.2</v>
      </c>
      <c r="H344" s="7">
        <v>2</v>
      </c>
      <c r="I344" s="7">
        <v>60</v>
      </c>
    </row>
    <row r="345" spans="1:9">
      <c r="A345" s="7" t="s">
        <v>878</v>
      </c>
      <c r="B345" s="7" t="s">
        <v>1435</v>
      </c>
      <c r="C345" s="7" t="s">
        <v>739</v>
      </c>
      <c r="D345" s="7" t="s">
        <v>10</v>
      </c>
      <c r="E345" s="7" t="s">
        <v>869</v>
      </c>
      <c r="F345" s="7">
        <v>151.4</v>
      </c>
      <c r="G345" s="7">
        <v>15.2</v>
      </c>
      <c r="H345" s="7">
        <v>2</v>
      </c>
      <c r="I345" s="7">
        <v>60</v>
      </c>
    </row>
    <row r="346" spans="1:9">
      <c r="A346" s="7" t="s">
        <v>879</v>
      </c>
      <c r="B346" s="7" t="s">
        <v>1436</v>
      </c>
      <c r="C346" s="7" t="s">
        <v>739</v>
      </c>
      <c r="D346" s="7" t="s">
        <v>10</v>
      </c>
      <c r="E346" s="7" t="s">
        <v>872</v>
      </c>
      <c r="F346" s="7">
        <v>164.1</v>
      </c>
      <c r="G346" s="7">
        <v>29.8</v>
      </c>
      <c r="H346" s="7">
        <v>2</v>
      </c>
      <c r="I346" s="7">
        <v>34</v>
      </c>
    </row>
    <row r="347" spans="1:9">
      <c r="A347" s="7" t="s">
        <v>880</v>
      </c>
      <c r="B347" s="7" t="s">
        <v>1437</v>
      </c>
      <c r="C347" s="7" t="s">
        <v>739</v>
      </c>
      <c r="D347" s="7" t="s">
        <v>10</v>
      </c>
      <c r="E347" s="7" t="s">
        <v>872</v>
      </c>
      <c r="F347" s="7">
        <v>166.7</v>
      </c>
      <c r="G347" s="7">
        <v>29.8</v>
      </c>
      <c r="H347" s="7">
        <v>2</v>
      </c>
      <c r="I347" s="7">
        <v>34</v>
      </c>
    </row>
    <row r="348" spans="1:9">
      <c r="A348" s="7" t="s">
        <v>881</v>
      </c>
      <c r="B348" s="7" t="s">
        <v>1438</v>
      </c>
      <c r="C348" s="7" t="s">
        <v>739</v>
      </c>
      <c r="D348" s="7" t="s">
        <v>10</v>
      </c>
      <c r="E348" s="7" t="s">
        <v>78</v>
      </c>
      <c r="F348" s="7">
        <v>20</v>
      </c>
      <c r="G348" s="7">
        <v>6</v>
      </c>
      <c r="H348" s="7">
        <v>2</v>
      </c>
      <c r="I348" s="7">
        <v>40</v>
      </c>
    </row>
    <row r="349" spans="1:9">
      <c r="A349" s="7" t="s">
        <v>882</v>
      </c>
      <c r="B349" s="7" t="s">
        <v>1439</v>
      </c>
      <c r="C349" s="7" t="s">
        <v>739</v>
      </c>
      <c r="D349" s="7" t="s">
        <v>10</v>
      </c>
      <c r="E349" s="7" t="s">
        <v>869</v>
      </c>
      <c r="F349" s="7">
        <v>30.5</v>
      </c>
      <c r="G349" s="7">
        <v>30.5</v>
      </c>
      <c r="H349" s="7">
        <v>1.2</v>
      </c>
      <c r="I349" s="7">
        <v>189</v>
      </c>
    </row>
    <row r="350" spans="1:9">
      <c r="A350" s="7" t="s">
        <v>883</v>
      </c>
      <c r="B350" s="7" t="s">
        <v>1440</v>
      </c>
      <c r="C350" s="7" t="s">
        <v>739</v>
      </c>
      <c r="D350" s="7" t="s">
        <v>10</v>
      </c>
      <c r="E350" s="7" t="s">
        <v>869</v>
      </c>
      <c r="F350" s="7">
        <v>61</v>
      </c>
      <c r="G350" s="7">
        <v>20.3</v>
      </c>
      <c r="H350" s="7">
        <v>1.5</v>
      </c>
      <c r="I350" s="7">
        <v>82</v>
      </c>
    </row>
    <row r="351" spans="1:9">
      <c r="A351" s="7" t="s">
        <v>884</v>
      </c>
      <c r="B351" s="7" t="s">
        <v>1441</v>
      </c>
      <c r="C351" s="7" t="s">
        <v>739</v>
      </c>
      <c r="D351" s="7" t="s">
        <v>10</v>
      </c>
      <c r="E351" s="7" t="s">
        <v>869</v>
      </c>
      <c r="F351" s="7">
        <v>61</v>
      </c>
      <c r="G351" s="7">
        <v>27.9</v>
      </c>
      <c r="H351" s="7">
        <v>1.5</v>
      </c>
      <c r="I351" s="7">
        <v>77</v>
      </c>
    </row>
    <row r="352" spans="1:9">
      <c r="A352" s="7" t="s">
        <v>885</v>
      </c>
      <c r="B352" s="7" t="s">
        <v>1442</v>
      </c>
      <c r="C352" s="7" t="s">
        <v>739</v>
      </c>
      <c r="D352" s="7" t="s">
        <v>10</v>
      </c>
      <c r="E352" s="7" t="s">
        <v>869</v>
      </c>
      <c r="F352" s="7">
        <v>61</v>
      </c>
      <c r="G352" s="7">
        <v>30.5</v>
      </c>
      <c r="H352" s="7">
        <v>1.2</v>
      </c>
      <c r="I352" s="7">
        <v>140</v>
      </c>
    </row>
    <row r="353" spans="1:9">
      <c r="A353" s="7" t="s">
        <v>886</v>
      </c>
      <c r="B353" s="7" t="s">
        <v>1443</v>
      </c>
      <c r="C353" s="7" t="s">
        <v>739</v>
      </c>
      <c r="D353" s="7" t="s">
        <v>10</v>
      </c>
      <c r="E353" s="7" t="s">
        <v>623</v>
      </c>
      <c r="F353" s="7">
        <v>61</v>
      </c>
      <c r="G353" s="7">
        <v>30.5</v>
      </c>
      <c r="H353" s="7">
        <v>1.5</v>
      </c>
      <c r="I353" s="7">
        <v>120</v>
      </c>
    </row>
    <row r="354" spans="1:9">
      <c r="A354" s="7" t="s">
        <v>887</v>
      </c>
      <c r="B354" s="7" t="s">
        <v>1444</v>
      </c>
      <c r="C354" s="7" t="s">
        <v>739</v>
      </c>
      <c r="D354" s="7" t="s">
        <v>10</v>
      </c>
      <c r="E354" s="7" t="s">
        <v>869</v>
      </c>
      <c r="F354" s="7">
        <v>61</v>
      </c>
      <c r="G354" s="7">
        <v>35.6</v>
      </c>
      <c r="H354" s="7">
        <v>1.5</v>
      </c>
      <c r="I354" s="7">
        <v>88</v>
      </c>
    </row>
    <row r="355" spans="1:9">
      <c r="A355" s="7" t="s">
        <v>888</v>
      </c>
      <c r="B355" s="7" t="s">
        <v>1445</v>
      </c>
      <c r="C355" s="7" t="s">
        <v>739</v>
      </c>
      <c r="D355" s="7" t="s">
        <v>10</v>
      </c>
      <c r="E355" s="7" t="s">
        <v>869</v>
      </c>
      <c r="F355" s="7">
        <v>61</v>
      </c>
      <c r="G355" s="7">
        <v>45.7</v>
      </c>
      <c r="H355" s="7">
        <v>1.5</v>
      </c>
      <c r="I355" s="7">
        <v>85</v>
      </c>
    </row>
    <row r="356" spans="1:9">
      <c r="A356" s="7" t="s">
        <v>889</v>
      </c>
      <c r="B356" s="7" t="s">
        <v>1446</v>
      </c>
      <c r="C356" s="7" t="s">
        <v>739</v>
      </c>
      <c r="D356" s="7" t="s">
        <v>10</v>
      </c>
      <c r="E356" s="7" t="s">
        <v>623</v>
      </c>
      <c r="F356" s="7">
        <v>61</v>
      </c>
      <c r="G356" s="7">
        <v>61</v>
      </c>
      <c r="H356" s="7">
        <v>1.5</v>
      </c>
      <c r="I356" s="7">
        <v>60</v>
      </c>
    </row>
    <row r="357" spans="1:9">
      <c r="A357" s="7" t="s">
        <v>890</v>
      </c>
      <c r="B357" s="7" t="s">
        <v>1447</v>
      </c>
      <c r="C357" s="7" t="s">
        <v>739</v>
      </c>
      <c r="D357" s="7" t="s">
        <v>10</v>
      </c>
      <c r="E357" s="7" t="s">
        <v>869</v>
      </c>
      <c r="F357" s="7">
        <v>81.3</v>
      </c>
      <c r="G357" s="7">
        <v>45.7</v>
      </c>
      <c r="H357" s="7">
        <v>2</v>
      </c>
      <c r="I357" s="7">
        <v>57</v>
      </c>
    </row>
    <row r="358" spans="1:9">
      <c r="A358" s="7" t="s">
        <v>891</v>
      </c>
      <c r="B358" s="7" t="s">
        <v>1448</v>
      </c>
      <c r="C358" s="7" t="s">
        <v>739</v>
      </c>
      <c r="D358" s="7" t="s">
        <v>10</v>
      </c>
      <c r="E358" s="7" t="s">
        <v>78</v>
      </c>
      <c r="F358" s="7">
        <v>86.4</v>
      </c>
      <c r="G358" s="7">
        <v>50.8</v>
      </c>
      <c r="H358" s="7">
        <v>2</v>
      </c>
      <c r="I358" s="7">
        <v>60</v>
      </c>
    </row>
    <row r="359" spans="1:9">
      <c r="A359" s="7" t="s">
        <v>892</v>
      </c>
      <c r="B359" s="7" t="s">
        <v>1449</v>
      </c>
      <c r="C359" s="7" t="s">
        <v>739</v>
      </c>
      <c r="D359" s="7" t="s">
        <v>10</v>
      </c>
      <c r="E359" s="7" t="s">
        <v>869</v>
      </c>
      <c r="F359" s="7">
        <v>91.4</v>
      </c>
      <c r="G359" s="7">
        <v>45.7</v>
      </c>
      <c r="H359" s="7">
        <v>2</v>
      </c>
      <c r="I359" s="7">
        <v>57</v>
      </c>
    </row>
    <row r="360" spans="1:9">
      <c r="A360" s="7" t="s">
        <v>893</v>
      </c>
      <c r="B360" s="7" t="s">
        <v>1450</v>
      </c>
      <c r="C360" s="7" t="s">
        <v>739</v>
      </c>
      <c r="D360" s="7" t="s">
        <v>10</v>
      </c>
      <c r="E360" s="7" t="s">
        <v>623</v>
      </c>
      <c r="F360" s="7">
        <v>91.5</v>
      </c>
      <c r="G360" s="7">
        <v>30.5</v>
      </c>
      <c r="H360" s="7">
        <v>1.5</v>
      </c>
      <c r="I360" s="7">
        <v>84</v>
      </c>
    </row>
    <row r="361" spans="1:9">
      <c r="A361" s="7" t="s">
        <v>894</v>
      </c>
      <c r="B361" s="7" t="s">
        <v>1451</v>
      </c>
      <c r="C361" s="7" t="s">
        <v>739</v>
      </c>
      <c r="D361" s="7" t="s">
        <v>10</v>
      </c>
      <c r="E361" s="7" t="s">
        <v>79</v>
      </c>
      <c r="F361" s="7">
        <v>20</v>
      </c>
      <c r="G361" s="7">
        <v>6</v>
      </c>
      <c r="H361" s="7">
        <v>2</v>
      </c>
      <c r="I361" s="7">
        <v>40</v>
      </c>
    </row>
    <row r="362" spans="1:9">
      <c r="A362" s="7" t="s">
        <v>895</v>
      </c>
      <c r="B362" s="7" t="s">
        <v>1452</v>
      </c>
      <c r="C362" s="7" t="s">
        <v>739</v>
      </c>
      <c r="D362" s="7" t="s">
        <v>10</v>
      </c>
      <c r="E362" s="7" t="s">
        <v>59</v>
      </c>
      <c r="F362" s="7">
        <v>20</v>
      </c>
      <c r="G362" s="7">
        <v>6</v>
      </c>
      <c r="H362" s="7">
        <v>2</v>
      </c>
      <c r="I362" s="7">
        <v>40</v>
      </c>
    </row>
    <row r="363" spans="1:9">
      <c r="A363" s="7" t="s">
        <v>896</v>
      </c>
      <c r="B363" s="7" t="s">
        <v>1453</v>
      </c>
      <c r="C363" s="7" t="s">
        <v>739</v>
      </c>
      <c r="D363" s="7" t="s">
        <v>10</v>
      </c>
      <c r="E363" s="7" t="s">
        <v>45</v>
      </c>
      <c r="F363" s="7">
        <v>20</v>
      </c>
      <c r="G363" s="7">
        <v>6</v>
      </c>
      <c r="H363" s="7">
        <v>2</v>
      </c>
      <c r="I363" s="7">
        <v>40</v>
      </c>
    </row>
    <row r="364" spans="1:9">
      <c r="A364" s="7" t="s">
        <v>897</v>
      </c>
      <c r="B364" s="7" t="s">
        <v>1454</v>
      </c>
      <c r="C364" s="7" t="s">
        <v>739</v>
      </c>
      <c r="D364" s="7" t="s">
        <v>30</v>
      </c>
      <c r="E364" s="7" t="s">
        <v>850</v>
      </c>
      <c r="F364" s="7">
        <v>154.9</v>
      </c>
      <c r="G364" s="7">
        <v>15.2</v>
      </c>
      <c r="H364" s="7">
        <v>3</v>
      </c>
      <c r="I364" s="7">
        <v>4</v>
      </c>
    </row>
    <row r="365" spans="1:9">
      <c r="A365" s="7" t="s">
        <v>898</v>
      </c>
      <c r="B365" s="7" t="s">
        <v>1455</v>
      </c>
      <c r="C365" s="7" t="s">
        <v>739</v>
      </c>
      <c r="D365" s="7" t="s">
        <v>30</v>
      </c>
      <c r="E365" s="7" t="s">
        <v>850</v>
      </c>
      <c r="F365" s="7">
        <v>182.9</v>
      </c>
      <c r="G365" s="7">
        <v>15.2</v>
      </c>
      <c r="H365" s="7">
        <v>3</v>
      </c>
      <c r="I365" s="7">
        <v>4</v>
      </c>
    </row>
    <row r="366" spans="1:9">
      <c r="A366" s="7" t="s">
        <v>899</v>
      </c>
      <c r="B366" s="7" t="s">
        <v>1456</v>
      </c>
      <c r="C366" s="7" t="s">
        <v>739</v>
      </c>
      <c r="D366" s="7" t="s">
        <v>30</v>
      </c>
      <c r="E366" s="7" t="s">
        <v>623</v>
      </c>
      <c r="F366" s="7">
        <v>160</v>
      </c>
      <c r="G366" s="7">
        <v>80</v>
      </c>
      <c r="H366" s="7">
        <v>2</v>
      </c>
      <c r="I366" s="7">
        <v>14</v>
      </c>
    </row>
    <row r="367" spans="1:9">
      <c r="A367" s="7" t="s">
        <v>900</v>
      </c>
      <c r="B367" s="7" t="s">
        <v>1457</v>
      </c>
      <c r="C367" s="7" t="s">
        <v>739</v>
      </c>
      <c r="D367" s="7" t="s">
        <v>30</v>
      </c>
      <c r="E367" s="7" t="s">
        <v>78</v>
      </c>
      <c r="F367" s="7">
        <v>200</v>
      </c>
      <c r="G367" s="7">
        <v>64</v>
      </c>
      <c r="H367" s="7">
        <v>2</v>
      </c>
      <c r="I367" s="7">
        <v>20</v>
      </c>
    </row>
    <row r="368" spans="1:9">
      <c r="A368" s="7" t="s">
        <v>901</v>
      </c>
      <c r="B368" s="7" t="s">
        <v>1458</v>
      </c>
      <c r="C368" s="7" t="s">
        <v>739</v>
      </c>
      <c r="D368" s="7" t="s">
        <v>39</v>
      </c>
      <c r="E368" s="7" t="s">
        <v>73</v>
      </c>
      <c r="F368" s="7" t="s">
        <v>474</v>
      </c>
      <c r="G368" s="7" t="s">
        <v>474</v>
      </c>
      <c r="H368" s="7">
        <v>3</v>
      </c>
      <c r="I368" s="7">
        <v>30</v>
      </c>
    </row>
    <row r="369" spans="1:9">
      <c r="A369" s="7" t="s">
        <v>902</v>
      </c>
      <c r="B369" s="7" t="s">
        <v>1459</v>
      </c>
      <c r="C369" s="7" t="s">
        <v>739</v>
      </c>
      <c r="D369" s="7" t="s">
        <v>38</v>
      </c>
      <c r="E369" s="7" t="s">
        <v>850</v>
      </c>
      <c r="F369" s="7">
        <v>40</v>
      </c>
      <c r="G369" s="7">
        <v>8</v>
      </c>
      <c r="H369" s="7">
        <v>1.2</v>
      </c>
      <c r="I369" s="7">
        <v>54</v>
      </c>
    </row>
    <row r="370" spans="1:9">
      <c r="A370" s="7" t="s">
        <v>903</v>
      </c>
      <c r="B370" s="7" t="s">
        <v>1460</v>
      </c>
      <c r="C370" s="7" t="s">
        <v>739</v>
      </c>
      <c r="D370" s="7" t="s">
        <v>38</v>
      </c>
      <c r="E370" s="7" t="s">
        <v>904</v>
      </c>
      <c r="F370" s="7">
        <v>50</v>
      </c>
      <c r="G370" s="7">
        <v>8</v>
      </c>
      <c r="H370" s="7">
        <v>2</v>
      </c>
      <c r="I370" s="7">
        <v>44</v>
      </c>
    </row>
    <row r="371" spans="1:9">
      <c r="A371" s="7" t="s">
        <v>905</v>
      </c>
      <c r="B371" s="7" t="s">
        <v>1461</v>
      </c>
      <c r="C371" s="7" t="s">
        <v>739</v>
      </c>
      <c r="D371" s="7" t="s">
        <v>38</v>
      </c>
      <c r="E371" s="7" t="s">
        <v>850</v>
      </c>
      <c r="F371" s="7">
        <v>60</v>
      </c>
      <c r="G371" s="7">
        <v>8</v>
      </c>
      <c r="H371" s="7">
        <v>1.2</v>
      </c>
      <c r="I371" s="7">
        <v>54</v>
      </c>
    </row>
    <row r="372" spans="1:9">
      <c r="A372" s="7" t="s">
        <v>906</v>
      </c>
      <c r="B372" s="7" t="s">
        <v>1462</v>
      </c>
      <c r="C372" s="7" t="s">
        <v>739</v>
      </c>
      <c r="D372" s="7" t="s">
        <v>38</v>
      </c>
      <c r="E372" s="7" t="s">
        <v>904</v>
      </c>
      <c r="F372" s="7">
        <v>65</v>
      </c>
      <c r="G372" s="7">
        <v>8</v>
      </c>
      <c r="H372" s="7">
        <v>2</v>
      </c>
      <c r="I372" s="7">
        <v>44</v>
      </c>
    </row>
    <row r="373" spans="1:9">
      <c r="A373" s="7" t="s">
        <v>907</v>
      </c>
      <c r="B373" s="7" t="s">
        <v>1463</v>
      </c>
      <c r="C373" s="7" t="s">
        <v>739</v>
      </c>
      <c r="D373" s="7" t="s">
        <v>38</v>
      </c>
      <c r="E373" s="7" t="s">
        <v>850</v>
      </c>
      <c r="F373" s="7">
        <v>80</v>
      </c>
      <c r="G373" s="7">
        <v>8</v>
      </c>
      <c r="H373" s="7">
        <v>1.2</v>
      </c>
      <c r="I373" s="7">
        <v>54</v>
      </c>
    </row>
    <row r="374" spans="1:9">
      <c r="A374" s="7" t="s">
        <v>908</v>
      </c>
      <c r="B374" s="7" t="s">
        <v>1464</v>
      </c>
      <c r="C374" s="7" t="s">
        <v>739</v>
      </c>
      <c r="D374" s="7" t="s">
        <v>38</v>
      </c>
      <c r="E374" s="7" t="s">
        <v>904</v>
      </c>
      <c r="F374" s="7">
        <v>80</v>
      </c>
      <c r="G374" s="7">
        <v>8</v>
      </c>
      <c r="H374" s="7">
        <v>2</v>
      </c>
      <c r="I374" s="7">
        <v>44</v>
      </c>
    </row>
    <row r="375" spans="1:9">
      <c r="A375" s="7" t="s">
        <v>909</v>
      </c>
      <c r="B375" s="7" t="s">
        <v>1465</v>
      </c>
      <c r="C375" s="7" t="s">
        <v>739</v>
      </c>
      <c r="D375" s="7" t="s">
        <v>34</v>
      </c>
      <c r="E375" s="8" t="s">
        <v>910</v>
      </c>
      <c r="F375" s="7">
        <v>100</v>
      </c>
      <c r="G375" s="7">
        <v>26.5</v>
      </c>
      <c r="H375" s="7">
        <v>3</v>
      </c>
      <c r="I375" s="7">
        <v>44</v>
      </c>
    </row>
    <row r="376" spans="1:9">
      <c r="A376" s="7" t="s">
        <v>911</v>
      </c>
      <c r="B376" s="7" t="s">
        <v>1466</v>
      </c>
      <c r="C376" s="7" t="s">
        <v>739</v>
      </c>
      <c r="D376" s="7" t="s">
        <v>34</v>
      </c>
      <c r="E376" s="8" t="s">
        <v>910</v>
      </c>
      <c r="F376" s="7">
        <v>160</v>
      </c>
      <c r="G376" s="7">
        <v>26.5</v>
      </c>
      <c r="H376" s="7">
        <v>3</v>
      </c>
      <c r="I376" s="7">
        <v>44</v>
      </c>
    </row>
    <row r="377" spans="1:9">
      <c r="A377" s="7" t="s">
        <v>912</v>
      </c>
      <c r="B377" s="7" t="s">
        <v>1467</v>
      </c>
      <c r="C377" s="7" t="s">
        <v>739</v>
      </c>
      <c r="D377" s="7" t="s">
        <v>34</v>
      </c>
      <c r="E377" s="8" t="s">
        <v>910</v>
      </c>
      <c r="F377" s="7">
        <v>50</v>
      </c>
      <c r="G377" s="7">
        <v>26.5</v>
      </c>
      <c r="H377" s="7">
        <v>3</v>
      </c>
      <c r="I377" s="7">
        <v>44</v>
      </c>
    </row>
    <row r="378" spans="1:9">
      <c r="A378" s="7" t="s">
        <v>913</v>
      </c>
      <c r="B378" s="7" t="s">
        <v>1468</v>
      </c>
      <c r="C378" s="7" t="s">
        <v>739</v>
      </c>
      <c r="D378" s="7" t="s">
        <v>31</v>
      </c>
      <c r="E378" s="7" t="s">
        <v>904</v>
      </c>
      <c r="F378" s="7">
        <v>142</v>
      </c>
      <c r="G378" s="7">
        <v>13.5</v>
      </c>
      <c r="H378" s="7">
        <v>2</v>
      </c>
      <c r="I378" s="7">
        <v>44</v>
      </c>
    </row>
    <row r="379" spans="1:9">
      <c r="A379" s="7" t="s">
        <v>914</v>
      </c>
      <c r="B379" s="7" t="s">
        <v>1469</v>
      </c>
      <c r="C379" s="7" t="s">
        <v>739</v>
      </c>
      <c r="D379" s="7" t="s">
        <v>31</v>
      </c>
      <c r="E379" s="7" t="s">
        <v>904</v>
      </c>
      <c r="F379" s="7">
        <v>142</v>
      </c>
      <c r="G379" s="7">
        <v>18.5</v>
      </c>
      <c r="H379" s="7">
        <v>2</v>
      </c>
      <c r="I379" s="7">
        <v>44</v>
      </c>
    </row>
    <row r="380" spans="1:9">
      <c r="A380" s="7" t="s">
        <v>915</v>
      </c>
      <c r="B380" s="7" t="s">
        <v>1470</v>
      </c>
      <c r="C380" s="7" t="s">
        <v>739</v>
      </c>
      <c r="D380" s="7" t="s">
        <v>31</v>
      </c>
      <c r="E380" s="7" t="s">
        <v>904</v>
      </c>
      <c r="F380" s="7">
        <v>158</v>
      </c>
      <c r="G380" s="7">
        <v>13.5</v>
      </c>
      <c r="H380" s="7">
        <v>2</v>
      </c>
      <c r="I380" s="7">
        <v>44</v>
      </c>
    </row>
    <row r="381" spans="1:9">
      <c r="A381" s="7" t="s">
        <v>916</v>
      </c>
      <c r="B381" s="7" t="s">
        <v>1471</v>
      </c>
      <c r="C381" s="7" t="s">
        <v>739</v>
      </c>
      <c r="D381" s="7" t="s">
        <v>31</v>
      </c>
      <c r="E381" s="7" t="s">
        <v>917</v>
      </c>
      <c r="F381" s="7">
        <v>142</v>
      </c>
      <c r="G381" s="7">
        <v>34</v>
      </c>
      <c r="H381" s="7">
        <v>3</v>
      </c>
      <c r="I381" s="7">
        <v>44</v>
      </c>
    </row>
    <row r="382" spans="1:9">
      <c r="A382" s="7" t="s">
        <v>918</v>
      </c>
      <c r="B382" s="7" t="s">
        <v>1472</v>
      </c>
      <c r="C382" s="7" t="s">
        <v>739</v>
      </c>
      <c r="D382" s="7" t="s">
        <v>31</v>
      </c>
      <c r="E382" s="7" t="s">
        <v>919</v>
      </c>
      <c r="F382" s="7">
        <v>142</v>
      </c>
      <c r="G382" s="7">
        <v>70</v>
      </c>
      <c r="H382" s="7">
        <v>3</v>
      </c>
      <c r="I382" s="7">
        <v>44</v>
      </c>
    </row>
    <row r="383" spans="1:9">
      <c r="A383" s="7" t="s">
        <v>920</v>
      </c>
      <c r="B383" s="7" t="s">
        <v>1473</v>
      </c>
      <c r="C383" s="7" t="s">
        <v>739</v>
      </c>
      <c r="D383" s="7" t="s">
        <v>31</v>
      </c>
      <c r="E383" s="7" t="s">
        <v>917</v>
      </c>
      <c r="F383" s="7">
        <v>145</v>
      </c>
      <c r="G383" s="7">
        <v>68</v>
      </c>
      <c r="H383" s="7">
        <v>3</v>
      </c>
      <c r="I383" s="7">
        <v>44</v>
      </c>
    </row>
    <row r="384" spans="1:9">
      <c r="A384" s="7" t="s">
        <v>921</v>
      </c>
      <c r="B384" s="7" t="s">
        <v>1474</v>
      </c>
      <c r="C384" s="7" t="s">
        <v>739</v>
      </c>
      <c r="D384" s="7" t="s">
        <v>31</v>
      </c>
      <c r="E384" s="7" t="s">
        <v>917</v>
      </c>
      <c r="F384" s="7">
        <v>148</v>
      </c>
      <c r="G384" s="7">
        <v>59</v>
      </c>
      <c r="H384" s="7">
        <v>3</v>
      </c>
      <c r="I384" s="7">
        <v>44</v>
      </c>
    </row>
    <row r="385" spans="1:9">
      <c r="A385" s="7" t="s">
        <v>922</v>
      </c>
      <c r="B385" s="7" t="s">
        <v>1475</v>
      </c>
      <c r="C385" s="7" t="s">
        <v>739</v>
      </c>
      <c r="D385" s="7" t="s">
        <v>33</v>
      </c>
      <c r="E385" s="7" t="s">
        <v>89</v>
      </c>
      <c r="F385" s="7">
        <v>35</v>
      </c>
      <c r="G385" s="7">
        <v>17</v>
      </c>
      <c r="H385" s="7">
        <v>15</v>
      </c>
      <c r="I385" s="7">
        <v>72</v>
      </c>
    </row>
    <row r="386" spans="1:9">
      <c r="A386" s="7" t="s">
        <v>923</v>
      </c>
      <c r="B386" s="7" t="s">
        <v>1476</v>
      </c>
      <c r="C386" s="7" t="s">
        <v>739</v>
      </c>
      <c r="D386" s="7" t="s">
        <v>33</v>
      </c>
      <c r="E386" s="7" t="s">
        <v>89</v>
      </c>
      <c r="F386" s="7">
        <v>40</v>
      </c>
      <c r="G386" s="7">
        <v>20</v>
      </c>
      <c r="H386" s="7">
        <v>10</v>
      </c>
      <c r="I386" s="7">
        <v>60</v>
      </c>
    </row>
    <row r="387" spans="1:9">
      <c r="A387" s="7" t="s">
        <v>924</v>
      </c>
      <c r="B387" s="7" t="s">
        <v>1477</v>
      </c>
      <c r="C387" s="7" t="s">
        <v>739</v>
      </c>
      <c r="D387" s="7" t="s">
        <v>33</v>
      </c>
      <c r="E387" s="8" t="s">
        <v>134</v>
      </c>
      <c r="F387" s="7" t="s">
        <v>472</v>
      </c>
      <c r="G387" s="7">
        <v>20</v>
      </c>
      <c r="H387" s="7">
        <v>15</v>
      </c>
      <c r="I387" s="7">
        <v>30</v>
      </c>
    </row>
    <row r="388" spans="1:9">
      <c r="A388" s="7" t="s">
        <v>925</v>
      </c>
      <c r="B388" s="7" t="s">
        <v>1478</v>
      </c>
      <c r="C388" s="7" t="s">
        <v>739</v>
      </c>
      <c r="D388" s="7" t="s">
        <v>33</v>
      </c>
      <c r="E388" s="8" t="s">
        <v>134</v>
      </c>
      <c r="F388" s="7" t="s">
        <v>472</v>
      </c>
      <c r="G388" s="7">
        <v>20</v>
      </c>
      <c r="H388" s="7">
        <v>22.5</v>
      </c>
      <c r="I388" s="7">
        <v>21</v>
      </c>
    </row>
    <row r="389" spans="1:9">
      <c r="A389" s="7" t="s">
        <v>926</v>
      </c>
      <c r="B389" s="7" t="s">
        <v>1479</v>
      </c>
      <c r="C389" s="7" t="s">
        <v>739</v>
      </c>
      <c r="D389" s="7" t="s">
        <v>33</v>
      </c>
      <c r="E389" s="8" t="s">
        <v>134</v>
      </c>
      <c r="F389" s="7" t="s">
        <v>472</v>
      </c>
      <c r="G389" s="7">
        <v>20</v>
      </c>
      <c r="H389" s="7">
        <v>7.5</v>
      </c>
      <c r="I389" s="7">
        <v>60</v>
      </c>
    </row>
    <row r="390" spans="1:9">
      <c r="A390" s="7" t="s">
        <v>927</v>
      </c>
      <c r="B390" s="7" t="s">
        <v>1480</v>
      </c>
      <c r="C390" s="7" t="s">
        <v>928</v>
      </c>
      <c r="D390" s="7" t="s">
        <v>28</v>
      </c>
      <c r="E390" s="7" t="s">
        <v>83</v>
      </c>
      <c r="F390" s="7">
        <v>9</v>
      </c>
      <c r="G390" s="7">
        <v>9</v>
      </c>
      <c r="H390" s="7">
        <v>9</v>
      </c>
      <c r="I390" s="7">
        <v>500</v>
      </c>
    </row>
    <row r="391" spans="1:9">
      <c r="A391" s="7" t="s">
        <v>929</v>
      </c>
      <c r="B391" s="7" t="s">
        <v>1481</v>
      </c>
      <c r="C391" s="7" t="s">
        <v>928</v>
      </c>
      <c r="D391" s="7" t="s">
        <v>28</v>
      </c>
      <c r="E391" s="7" t="s">
        <v>83</v>
      </c>
      <c r="F391" s="7">
        <v>19</v>
      </c>
      <c r="G391" s="7">
        <v>9</v>
      </c>
      <c r="H391" s="7">
        <v>9</v>
      </c>
      <c r="I391" s="7">
        <v>250</v>
      </c>
    </row>
    <row r="392" spans="1:9">
      <c r="A392" s="7" t="s">
        <v>930</v>
      </c>
      <c r="B392" s="7" t="s">
        <v>1482</v>
      </c>
      <c r="C392" s="7" t="s">
        <v>928</v>
      </c>
      <c r="D392" s="7" t="s">
        <v>28</v>
      </c>
      <c r="E392" s="7" t="s">
        <v>83</v>
      </c>
      <c r="F392" s="7">
        <v>29</v>
      </c>
      <c r="G392" s="7">
        <v>9</v>
      </c>
      <c r="H392" s="7">
        <v>9</v>
      </c>
      <c r="I392" s="7">
        <v>180</v>
      </c>
    </row>
    <row r="393" spans="1:9">
      <c r="A393" s="7" t="s">
        <v>931</v>
      </c>
      <c r="B393" s="7" t="s">
        <v>1483</v>
      </c>
      <c r="C393" s="7" t="s">
        <v>928</v>
      </c>
      <c r="D393" s="7" t="s">
        <v>28</v>
      </c>
      <c r="E393" s="7" t="s">
        <v>83</v>
      </c>
      <c r="F393" s="7">
        <v>9</v>
      </c>
      <c r="G393" s="7">
        <v>9</v>
      </c>
      <c r="H393" s="7">
        <v>4.5</v>
      </c>
      <c r="I393" s="7">
        <v>1000</v>
      </c>
    </row>
    <row r="394" spans="1:9">
      <c r="A394" s="7" t="s">
        <v>932</v>
      </c>
      <c r="B394" s="7" t="s">
        <v>1484</v>
      </c>
      <c r="C394" s="7" t="s">
        <v>928</v>
      </c>
      <c r="D394" s="7" t="s">
        <v>28</v>
      </c>
      <c r="E394" s="7" t="s">
        <v>933</v>
      </c>
      <c r="F394" s="7">
        <v>14</v>
      </c>
      <c r="G394" s="7">
        <v>14</v>
      </c>
      <c r="H394" s="7">
        <v>6</v>
      </c>
      <c r="I394" s="7">
        <v>441</v>
      </c>
    </row>
    <row r="395" spans="1:9">
      <c r="A395" s="7" t="s">
        <v>934</v>
      </c>
      <c r="B395" s="7" t="s">
        <v>1485</v>
      </c>
      <c r="C395" s="7" t="s">
        <v>928</v>
      </c>
      <c r="D395" s="7" t="s">
        <v>29</v>
      </c>
      <c r="E395" s="7" t="s">
        <v>44</v>
      </c>
      <c r="F395" s="7">
        <v>90</v>
      </c>
      <c r="G395" s="7">
        <v>12</v>
      </c>
      <c r="H395" s="7">
        <v>12</v>
      </c>
      <c r="I395" s="7">
        <v>30</v>
      </c>
    </row>
    <row r="396" spans="1:9">
      <c r="A396" s="7" t="s">
        <v>935</v>
      </c>
      <c r="B396" s="7" t="s">
        <v>1486</v>
      </c>
      <c r="C396" s="7" t="s">
        <v>928</v>
      </c>
      <c r="D396" s="7" t="s">
        <v>10</v>
      </c>
      <c r="E396" s="7" t="s">
        <v>834</v>
      </c>
      <c r="F396" s="7">
        <v>30</v>
      </c>
      <c r="G396" s="7">
        <v>30</v>
      </c>
      <c r="H396" s="7">
        <v>3</v>
      </c>
      <c r="I396" s="7">
        <v>120</v>
      </c>
    </row>
    <row r="397" spans="1:9">
      <c r="A397" s="7" t="s">
        <v>936</v>
      </c>
      <c r="B397" s="7" t="s">
        <v>1487</v>
      </c>
      <c r="C397" s="7" t="s">
        <v>928</v>
      </c>
      <c r="D397" s="7" t="s">
        <v>10</v>
      </c>
      <c r="E397" s="7" t="s">
        <v>834</v>
      </c>
      <c r="F397" s="7">
        <v>60</v>
      </c>
      <c r="G397" s="7">
        <v>30</v>
      </c>
      <c r="H397" s="7">
        <v>3</v>
      </c>
      <c r="I397" s="7">
        <v>60</v>
      </c>
    </row>
    <row r="398" spans="1:9">
      <c r="A398" s="7" t="s">
        <v>937</v>
      </c>
      <c r="B398" s="7" t="s">
        <v>1488</v>
      </c>
      <c r="C398" s="7" t="s">
        <v>928</v>
      </c>
      <c r="D398" s="7" t="s">
        <v>10</v>
      </c>
      <c r="E398" s="7" t="s">
        <v>834</v>
      </c>
      <c r="F398" s="7">
        <v>60</v>
      </c>
      <c r="G398" s="7">
        <v>40</v>
      </c>
      <c r="H398" s="7">
        <v>3</v>
      </c>
      <c r="I398" s="7">
        <v>50</v>
      </c>
    </row>
    <row r="399" spans="1:9">
      <c r="A399" s="7" t="s">
        <v>938</v>
      </c>
      <c r="B399" s="7" t="s">
        <v>1489</v>
      </c>
      <c r="C399" s="7" t="s">
        <v>928</v>
      </c>
      <c r="D399" s="7" t="s">
        <v>10</v>
      </c>
      <c r="E399" s="7" t="s">
        <v>834</v>
      </c>
      <c r="F399" s="7">
        <v>90</v>
      </c>
      <c r="G399" s="7">
        <v>45</v>
      </c>
      <c r="H399" s="7">
        <v>3</v>
      </c>
      <c r="I399" s="7">
        <v>30</v>
      </c>
    </row>
    <row r="400" spans="1:9">
      <c r="A400" s="7" t="s">
        <v>939</v>
      </c>
      <c r="B400" s="7" t="s">
        <v>1490</v>
      </c>
      <c r="C400" s="7" t="s">
        <v>940</v>
      </c>
      <c r="D400" s="7" t="s">
        <v>28</v>
      </c>
      <c r="E400" s="7" t="s">
        <v>83</v>
      </c>
      <c r="F400" s="7">
        <v>19</v>
      </c>
      <c r="G400" s="7">
        <v>9</v>
      </c>
      <c r="H400" s="7">
        <v>9</v>
      </c>
      <c r="I400" s="7">
        <v>250</v>
      </c>
    </row>
    <row r="401" spans="1:9">
      <c r="A401" s="7" t="s">
        <v>941</v>
      </c>
      <c r="B401" s="7" t="s">
        <v>1491</v>
      </c>
      <c r="C401" s="7" t="s">
        <v>940</v>
      </c>
      <c r="D401" s="7" t="s">
        <v>28</v>
      </c>
      <c r="E401" s="7" t="s">
        <v>83</v>
      </c>
      <c r="F401" s="7">
        <v>9</v>
      </c>
      <c r="G401" s="7">
        <v>9</v>
      </c>
      <c r="H401" s="7">
        <v>9</v>
      </c>
      <c r="I401" s="7">
        <v>500</v>
      </c>
    </row>
    <row r="402" spans="1:9">
      <c r="A402" s="7" t="s">
        <v>942</v>
      </c>
      <c r="B402" s="7" t="s">
        <v>1492</v>
      </c>
      <c r="C402" s="7" t="s">
        <v>940</v>
      </c>
      <c r="D402" s="7" t="s">
        <v>29</v>
      </c>
      <c r="E402" s="7" t="s">
        <v>943</v>
      </c>
      <c r="F402" s="7">
        <v>90</v>
      </c>
      <c r="G402" s="7">
        <v>10</v>
      </c>
      <c r="H402" s="7">
        <v>10</v>
      </c>
      <c r="I402" s="7">
        <v>40</v>
      </c>
    </row>
    <row r="403" spans="1:9">
      <c r="A403" s="7" t="s">
        <v>944</v>
      </c>
      <c r="B403" s="7" t="s">
        <v>1493</v>
      </c>
      <c r="C403" s="7" t="s">
        <v>945</v>
      </c>
      <c r="D403" s="7" t="s">
        <v>28</v>
      </c>
      <c r="E403" s="7" t="s">
        <v>89</v>
      </c>
      <c r="F403" s="7">
        <v>10</v>
      </c>
      <c r="G403" s="7">
        <v>10</v>
      </c>
      <c r="H403" s="7">
        <v>5</v>
      </c>
      <c r="I403" s="7">
        <v>1000</v>
      </c>
    </row>
    <row r="404" spans="1:9">
      <c r="A404" s="7" t="s">
        <v>946</v>
      </c>
      <c r="B404" s="7" t="s">
        <v>1494</v>
      </c>
      <c r="C404" s="7" t="s">
        <v>945</v>
      </c>
      <c r="D404" s="7" t="s">
        <v>28</v>
      </c>
      <c r="E404" s="7" t="s">
        <v>89</v>
      </c>
      <c r="F404" s="7">
        <v>20</v>
      </c>
      <c r="G404" s="7">
        <v>10</v>
      </c>
      <c r="H404" s="7">
        <v>7</v>
      </c>
      <c r="I404" s="7">
        <v>400</v>
      </c>
    </row>
    <row r="405" spans="1:9">
      <c r="A405" s="7" t="s">
        <v>947</v>
      </c>
      <c r="B405" s="7" t="s">
        <v>1495</v>
      </c>
      <c r="C405" s="7" t="s">
        <v>945</v>
      </c>
      <c r="D405" s="7" t="s">
        <v>28</v>
      </c>
      <c r="E405" s="7" t="s">
        <v>83</v>
      </c>
      <c r="F405" s="7">
        <v>19</v>
      </c>
      <c r="G405" s="7">
        <v>9</v>
      </c>
      <c r="H405" s="7">
        <v>9</v>
      </c>
      <c r="I405" s="7">
        <v>250</v>
      </c>
    </row>
    <row r="406" spans="1:9">
      <c r="A406" s="7" t="s">
        <v>948</v>
      </c>
      <c r="B406" s="7" t="s">
        <v>1496</v>
      </c>
      <c r="C406" s="7" t="s">
        <v>945</v>
      </c>
      <c r="D406" s="7" t="s">
        <v>28</v>
      </c>
      <c r="E406" s="7" t="s">
        <v>83</v>
      </c>
      <c r="F406" s="7">
        <v>9</v>
      </c>
      <c r="G406" s="7">
        <v>9</v>
      </c>
      <c r="H406" s="7">
        <v>9</v>
      </c>
      <c r="I406" s="7">
        <v>500</v>
      </c>
    </row>
    <row r="407" spans="1:9">
      <c r="A407" s="7" t="s">
        <v>949</v>
      </c>
      <c r="B407" s="7" t="s">
        <v>1497</v>
      </c>
      <c r="C407" s="7" t="s">
        <v>945</v>
      </c>
      <c r="D407" s="7" t="s">
        <v>28</v>
      </c>
      <c r="E407" s="7" t="s">
        <v>83</v>
      </c>
      <c r="F407" s="7">
        <v>29</v>
      </c>
      <c r="G407" s="7">
        <v>9</v>
      </c>
      <c r="H407" s="7">
        <v>9</v>
      </c>
      <c r="I407" s="7">
        <v>180</v>
      </c>
    </row>
    <row r="408" spans="1:9">
      <c r="A408" s="7" t="s">
        <v>950</v>
      </c>
      <c r="B408" s="7" t="s">
        <v>1498</v>
      </c>
      <c r="C408" s="7" t="s">
        <v>945</v>
      </c>
      <c r="D408" s="7" t="s">
        <v>28</v>
      </c>
      <c r="E408" s="7" t="s">
        <v>83</v>
      </c>
      <c r="F408" s="7">
        <v>9</v>
      </c>
      <c r="G408" s="7">
        <v>9</v>
      </c>
      <c r="H408" s="7">
        <v>5</v>
      </c>
      <c r="I408" s="7">
        <v>1000</v>
      </c>
    </row>
    <row r="409" spans="1:9">
      <c r="A409" s="7" t="s">
        <v>951</v>
      </c>
      <c r="B409" s="7" t="s">
        <v>1499</v>
      </c>
      <c r="C409" s="7" t="s">
        <v>945</v>
      </c>
      <c r="D409" s="7" t="s">
        <v>28</v>
      </c>
      <c r="E409" s="7" t="s">
        <v>952</v>
      </c>
      <c r="F409" s="7">
        <v>9</v>
      </c>
      <c r="G409" s="7">
        <v>9</v>
      </c>
      <c r="H409" s="7">
        <v>3</v>
      </c>
      <c r="I409" s="7">
        <v>1500</v>
      </c>
    </row>
    <row r="410" spans="1:9">
      <c r="A410" s="7" t="s">
        <v>953</v>
      </c>
      <c r="B410" s="7" t="s">
        <v>1500</v>
      </c>
      <c r="C410" s="7" t="s">
        <v>945</v>
      </c>
      <c r="D410" s="7" t="s">
        <v>29</v>
      </c>
      <c r="E410" s="7" t="s">
        <v>83</v>
      </c>
      <c r="F410" s="7">
        <v>180</v>
      </c>
      <c r="G410" s="7">
        <v>15</v>
      </c>
      <c r="H410" s="7">
        <v>12</v>
      </c>
      <c r="I410" s="7">
        <v>15</v>
      </c>
    </row>
    <row r="411" spans="1:9">
      <c r="A411" s="7" t="s">
        <v>954</v>
      </c>
      <c r="B411" s="7" t="s">
        <v>1501</v>
      </c>
      <c r="C411" s="7" t="s">
        <v>945</v>
      </c>
      <c r="D411" s="7" t="s">
        <v>29</v>
      </c>
      <c r="E411" s="7" t="s">
        <v>83</v>
      </c>
      <c r="F411" s="7">
        <v>60</v>
      </c>
      <c r="G411" s="7">
        <v>10</v>
      </c>
      <c r="H411" s="7">
        <v>10</v>
      </c>
      <c r="I411" s="7">
        <v>60</v>
      </c>
    </row>
    <row r="412" spans="1:9">
      <c r="A412" s="7" t="s">
        <v>955</v>
      </c>
      <c r="B412" s="7" t="s">
        <v>1502</v>
      </c>
      <c r="C412" s="7" t="s">
        <v>945</v>
      </c>
      <c r="D412" s="7" t="s">
        <v>29</v>
      </c>
      <c r="E412" s="7" t="s">
        <v>83</v>
      </c>
      <c r="F412" s="7">
        <v>60</v>
      </c>
      <c r="G412" s="7">
        <v>15</v>
      </c>
      <c r="H412" s="7">
        <v>12</v>
      </c>
      <c r="I412" s="7">
        <v>40</v>
      </c>
    </row>
    <row r="413" spans="1:9">
      <c r="A413" s="7" t="s">
        <v>956</v>
      </c>
      <c r="B413" s="7" t="s">
        <v>1503</v>
      </c>
      <c r="C413" s="7" t="s">
        <v>945</v>
      </c>
      <c r="D413" s="7" t="s">
        <v>29</v>
      </c>
      <c r="E413" s="7" t="s">
        <v>83</v>
      </c>
      <c r="F413" s="7">
        <v>60</v>
      </c>
      <c r="G413" s="7">
        <v>9</v>
      </c>
      <c r="H413" s="7">
        <v>9</v>
      </c>
      <c r="I413" s="7">
        <v>80</v>
      </c>
    </row>
    <row r="414" spans="1:9">
      <c r="A414" s="7" t="s">
        <v>957</v>
      </c>
      <c r="B414" s="7" t="s">
        <v>1504</v>
      </c>
      <c r="C414" s="7" t="s">
        <v>945</v>
      </c>
      <c r="D414" s="7" t="s">
        <v>29</v>
      </c>
      <c r="E414" s="7" t="s">
        <v>83</v>
      </c>
      <c r="F414" s="7">
        <v>90</v>
      </c>
      <c r="G414" s="7">
        <v>10</v>
      </c>
      <c r="H414" s="7">
        <v>10</v>
      </c>
      <c r="I414" s="7">
        <v>40</v>
      </c>
    </row>
    <row r="415" spans="1:9">
      <c r="A415" s="7" t="s">
        <v>958</v>
      </c>
      <c r="B415" s="7" t="s">
        <v>1505</v>
      </c>
      <c r="C415" s="7" t="s">
        <v>945</v>
      </c>
      <c r="D415" s="7" t="s">
        <v>29</v>
      </c>
      <c r="E415" s="7" t="s">
        <v>83</v>
      </c>
      <c r="F415" s="7">
        <v>90</v>
      </c>
      <c r="G415" s="7">
        <v>15</v>
      </c>
      <c r="H415" s="7">
        <v>10</v>
      </c>
      <c r="I415" s="7">
        <v>30</v>
      </c>
    </row>
    <row r="416" spans="1:9">
      <c r="A416" s="7" t="s">
        <v>959</v>
      </c>
      <c r="B416" s="7" t="s">
        <v>1506</v>
      </c>
      <c r="C416" s="7" t="s">
        <v>945</v>
      </c>
      <c r="D416" s="7" t="s">
        <v>29</v>
      </c>
      <c r="E416" s="7" t="s">
        <v>83</v>
      </c>
      <c r="F416" s="7">
        <v>90</v>
      </c>
      <c r="G416" s="7">
        <v>15</v>
      </c>
      <c r="H416" s="7">
        <v>12</v>
      </c>
      <c r="I416" s="7">
        <v>30</v>
      </c>
    </row>
    <row r="417" spans="1:9">
      <c r="A417" s="7" t="s">
        <v>960</v>
      </c>
      <c r="B417" s="7" t="s">
        <v>1507</v>
      </c>
      <c r="C417" s="7" t="s">
        <v>945</v>
      </c>
      <c r="D417" s="7" t="s">
        <v>29</v>
      </c>
      <c r="E417" s="7" t="s">
        <v>943</v>
      </c>
      <c r="F417" s="7">
        <v>180</v>
      </c>
      <c r="G417" s="7">
        <v>20</v>
      </c>
      <c r="H417" s="7">
        <v>10</v>
      </c>
      <c r="I417" s="7">
        <v>10</v>
      </c>
    </row>
    <row r="418" spans="1:9">
      <c r="A418" s="7" t="s">
        <v>961</v>
      </c>
      <c r="B418" s="7" t="s">
        <v>1508</v>
      </c>
      <c r="C418" s="7" t="s">
        <v>945</v>
      </c>
      <c r="D418" s="7" t="s">
        <v>29</v>
      </c>
      <c r="E418" s="7" t="s">
        <v>943</v>
      </c>
      <c r="F418" s="7">
        <v>180</v>
      </c>
      <c r="G418" s="7">
        <v>24</v>
      </c>
      <c r="H418" s="7">
        <v>12</v>
      </c>
      <c r="I418" s="7">
        <v>8</v>
      </c>
    </row>
    <row r="419" spans="1:9">
      <c r="A419" s="7" t="s">
        <v>962</v>
      </c>
      <c r="B419" s="7" t="s">
        <v>1509</v>
      </c>
      <c r="C419" s="7" t="s">
        <v>945</v>
      </c>
      <c r="D419" s="7" t="s">
        <v>29</v>
      </c>
      <c r="E419" s="7" t="s">
        <v>943</v>
      </c>
      <c r="F419" s="7">
        <v>90</v>
      </c>
      <c r="G419" s="7">
        <v>15</v>
      </c>
      <c r="H419" s="7">
        <v>10</v>
      </c>
      <c r="I419" s="7">
        <v>30</v>
      </c>
    </row>
    <row r="420" spans="1:9">
      <c r="A420" s="7" t="s">
        <v>963</v>
      </c>
      <c r="B420" s="7" t="s">
        <v>1510</v>
      </c>
      <c r="C420" s="7" t="s">
        <v>945</v>
      </c>
      <c r="D420" s="7" t="s">
        <v>29</v>
      </c>
      <c r="E420" s="7" t="s">
        <v>964</v>
      </c>
      <c r="F420" s="7">
        <v>60</v>
      </c>
      <c r="G420" s="7">
        <v>12</v>
      </c>
      <c r="H420" s="7">
        <v>10</v>
      </c>
      <c r="I420" s="7">
        <v>60</v>
      </c>
    </row>
    <row r="421" spans="1:9">
      <c r="A421" s="7" t="s">
        <v>965</v>
      </c>
      <c r="B421" s="7" t="s">
        <v>1511</v>
      </c>
      <c r="C421" s="7" t="s">
        <v>945</v>
      </c>
      <c r="D421" s="7" t="s">
        <v>10</v>
      </c>
      <c r="E421" s="7" t="s">
        <v>82</v>
      </c>
      <c r="F421" s="7">
        <v>30</v>
      </c>
      <c r="G421" s="7">
        <v>30</v>
      </c>
      <c r="H421" s="7">
        <v>6</v>
      </c>
      <c r="I421" s="7">
        <v>72</v>
      </c>
    </row>
    <row r="422" spans="1:9">
      <c r="A422" s="7" t="s">
        <v>966</v>
      </c>
      <c r="B422" s="7" t="s">
        <v>1512</v>
      </c>
      <c r="C422" s="7" t="s">
        <v>945</v>
      </c>
      <c r="D422" s="7" t="s">
        <v>10</v>
      </c>
      <c r="E422" s="7" t="s">
        <v>82</v>
      </c>
      <c r="F422" s="7">
        <v>60</v>
      </c>
      <c r="G422" s="7">
        <v>30</v>
      </c>
      <c r="H422" s="7">
        <v>5</v>
      </c>
      <c r="I422" s="7">
        <v>48</v>
      </c>
    </row>
    <row r="423" spans="1:9">
      <c r="A423" s="7" t="s">
        <v>967</v>
      </c>
      <c r="B423" s="7" t="s">
        <v>1513</v>
      </c>
      <c r="C423" s="7" t="s">
        <v>945</v>
      </c>
      <c r="D423" s="7" t="s">
        <v>10</v>
      </c>
      <c r="E423" s="7" t="s">
        <v>82</v>
      </c>
      <c r="F423" s="7">
        <v>60</v>
      </c>
      <c r="G423" s="7">
        <v>30</v>
      </c>
      <c r="H423" s="7">
        <v>6</v>
      </c>
      <c r="I423" s="7">
        <v>36</v>
      </c>
    </row>
    <row r="424" spans="1:9">
      <c r="A424" s="7" t="s">
        <v>968</v>
      </c>
      <c r="B424" s="7" t="s">
        <v>1514</v>
      </c>
      <c r="C424" s="7" t="s">
        <v>945</v>
      </c>
      <c r="D424" s="7" t="s">
        <v>10</v>
      </c>
      <c r="E424" s="7" t="s">
        <v>82</v>
      </c>
      <c r="F424" s="7">
        <v>60</v>
      </c>
      <c r="G424" s="7">
        <v>40</v>
      </c>
      <c r="H424" s="7">
        <v>6</v>
      </c>
      <c r="I424" s="7">
        <v>28</v>
      </c>
    </row>
    <row r="425" spans="1:9">
      <c r="A425" s="7" t="s">
        <v>969</v>
      </c>
      <c r="B425" s="7" t="s">
        <v>1515</v>
      </c>
      <c r="C425" s="7" t="s">
        <v>945</v>
      </c>
      <c r="D425" s="7" t="s">
        <v>10</v>
      </c>
      <c r="E425" s="7" t="s">
        <v>82</v>
      </c>
      <c r="F425" s="7">
        <v>80</v>
      </c>
      <c r="G425" s="7">
        <v>40</v>
      </c>
      <c r="H425" s="7">
        <v>6</v>
      </c>
      <c r="I425" s="7">
        <v>21</v>
      </c>
    </row>
    <row r="426" spans="1:9">
      <c r="A426" s="7" t="s">
        <v>970</v>
      </c>
      <c r="B426" s="7" t="s">
        <v>1516</v>
      </c>
      <c r="C426" s="7" t="s">
        <v>945</v>
      </c>
      <c r="D426" s="7" t="s">
        <v>10</v>
      </c>
      <c r="E426" s="7" t="s">
        <v>82</v>
      </c>
      <c r="F426" s="7">
        <v>90</v>
      </c>
      <c r="G426" s="7">
        <v>45</v>
      </c>
      <c r="H426" s="7">
        <v>7</v>
      </c>
      <c r="I426" s="7">
        <v>14</v>
      </c>
    </row>
    <row r="427" spans="1:9">
      <c r="A427" s="7" t="s">
        <v>971</v>
      </c>
      <c r="B427" s="7" t="s">
        <v>1517</v>
      </c>
      <c r="C427" s="7" t="s">
        <v>945</v>
      </c>
      <c r="D427" s="7" t="s">
        <v>10</v>
      </c>
      <c r="E427" s="7" t="s">
        <v>972</v>
      </c>
      <c r="F427" s="7">
        <v>90</v>
      </c>
      <c r="G427" s="7">
        <v>45</v>
      </c>
      <c r="H427" s="7">
        <v>6</v>
      </c>
      <c r="I427" s="7">
        <v>14</v>
      </c>
    </row>
    <row r="428" spans="1:9">
      <c r="A428" s="7" t="s">
        <v>973</v>
      </c>
      <c r="B428" s="7" t="s">
        <v>1518</v>
      </c>
      <c r="C428" s="7" t="s">
        <v>945</v>
      </c>
      <c r="D428" s="7" t="s">
        <v>39</v>
      </c>
      <c r="E428" s="7" t="s">
        <v>974</v>
      </c>
      <c r="F428" s="7">
        <v>40</v>
      </c>
      <c r="G428" s="7">
        <v>40</v>
      </c>
      <c r="H428" s="7">
        <v>7</v>
      </c>
      <c r="I428" s="7">
        <v>40</v>
      </c>
    </row>
    <row r="429" spans="1:9">
      <c r="A429" s="7" t="s">
        <v>975</v>
      </c>
      <c r="B429" s="7" t="s">
        <v>1519</v>
      </c>
      <c r="C429" s="7" t="s">
        <v>976</v>
      </c>
      <c r="D429" s="7" t="s">
        <v>32</v>
      </c>
      <c r="E429" s="7" t="s">
        <v>977</v>
      </c>
      <c r="F429" s="7">
        <v>45</v>
      </c>
      <c r="G429" s="7">
        <v>35</v>
      </c>
      <c r="H429" s="7">
        <v>30</v>
      </c>
      <c r="I429" s="7">
        <v>8</v>
      </c>
    </row>
    <row r="430" spans="1:9">
      <c r="A430" s="7" t="s">
        <v>978</v>
      </c>
      <c r="B430" s="7" t="s">
        <v>1520</v>
      </c>
      <c r="C430" s="7" t="s">
        <v>976</v>
      </c>
      <c r="D430" s="7" t="s">
        <v>36</v>
      </c>
      <c r="E430" s="7" t="s">
        <v>89</v>
      </c>
      <c r="F430" s="7">
        <v>30</v>
      </c>
      <c r="G430" s="7">
        <v>15</v>
      </c>
      <c r="H430" s="7">
        <v>10</v>
      </c>
      <c r="I430" s="7">
        <v>126</v>
      </c>
    </row>
    <row r="431" spans="1:9">
      <c r="A431" s="7" t="s">
        <v>979</v>
      </c>
      <c r="B431" s="7" t="s">
        <v>1521</v>
      </c>
      <c r="C431" s="7" t="s">
        <v>976</v>
      </c>
      <c r="D431" s="7" t="s">
        <v>28</v>
      </c>
      <c r="E431" s="7" t="s">
        <v>89</v>
      </c>
      <c r="F431" s="7">
        <v>20</v>
      </c>
      <c r="G431" s="7">
        <v>10</v>
      </c>
      <c r="H431" s="7">
        <v>7</v>
      </c>
      <c r="I431" s="7">
        <v>400</v>
      </c>
    </row>
    <row r="432" spans="1:9">
      <c r="A432" s="7" t="s">
        <v>980</v>
      </c>
      <c r="B432" s="7" t="s">
        <v>1522</v>
      </c>
      <c r="C432" s="7" t="s">
        <v>976</v>
      </c>
      <c r="D432" s="7" t="s">
        <v>28</v>
      </c>
      <c r="E432" s="7" t="s">
        <v>83</v>
      </c>
      <c r="F432" s="7">
        <v>19</v>
      </c>
      <c r="G432" s="7">
        <v>9</v>
      </c>
      <c r="H432" s="7">
        <v>9</v>
      </c>
      <c r="I432" s="7">
        <v>250</v>
      </c>
    </row>
    <row r="433" spans="1:9">
      <c r="A433" s="7" t="s">
        <v>981</v>
      </c>
      <c r="B433" s="7" t="s">
        <v>1523</v>
      </c>
      <c r="C433" s="7" t="s">
        <v>976</v>
      </c>
      <c r="D433" s="7" t="s">
        <v>28</v>
      </c>
      <c r="E433" s="7" t="s">
        <v>83</v>
      </c>
      <c r="F433" s="7">
        <v>29</v>
      </c>
      <c r="G433" s="7">
        <v>9</v>
      </c>
      <c r="H433" s="7">
        <v>9</v>
      </c>
      <c r="I433" s="7">
        <v>180</v>
      </c>
    </row>
    <row r="434" spans="1:9">
      <c r="A434" s="7" t="s">
        <v>982</v>
      </c>
      <c r="B434" s="7" t="s">
        <v>1524</v>
      </c>
      <c r="C434" s="7" t="s">
        <v>976</v>
      </c>
      <c r="D434" s="7" t="s">
        <v>28</v>
      </c>
      <c r="E434" s="7" t="s">
        <v>83</v>
      </c>
      <c r="F434" s="7">
        <v>9</v>
      </c>
      <c r="G434" s="7">
        <v>9</v>
      </c>
      <c r="H434" s="7">
        <v>4.5</v>
      </c>
      <c r="I434" s="7">
        <v>1000</v>
      </c>
    </row>
    <row r="435" spans="1:9">
      <c r="A435" s="7" t="s">
        <v>983</v>
      </c>
      <c r="B435" s="7" t="s">
        <v>1525</v>
      </c>
      <c r="C435" s="7" t="s">
        <v>976</v>
      </c>
      <c r="D435" s="7" t="s">
        <v>28</v>
      </c>
      <c r="E435" s="7" t="s">
        <v>83</v>
      </c>
      <c r="F435" s="7">
        <v>9</v>
      </c>
      <c r="G435" s="7">
        <v>9</v>
      </c>
      <c r="H435" s="7">
        <v>9</v>
      </c>
      <c r="I435" s="7">
        <v>500</v>
      </c>
    </row>
    <row r="436" spans="1:9">
      <c r="A436" s="7" t="s">
        <v>984</v>
      </c>
      <c r="B436" s="7" t="s">
        <v>1526</v>
      </c>
      <c r="C436" s="7" t="s">
        <v>976</v>
      </c>
      <c r="D436" s="7" t="s">
        <v>29</v>
      </c>
      <c r="E436" s="7" t="s">
        <v>82</v>
      </c>
      <c r="F436" s="7">
        <v>150</v>
      </c>
      <c r="G436" s="7">
        <v>30</v>
      </c>
      <c r="H436" s="7">
        <v>7</v>
      </c>
      <c r="I436" s="7">
        <v>12</v>
      </c>
    </row>
    <row r="437" spans="1:9">
      <c r="A437" s="7" t="s">
        <v>985</v>
      </c>
      <c r="B437" s="7" t="s">
        <v>1527</v>
      </c>
      <c r="C437" s="7" t="s">
        <v>976</v>
      </c>
      <c r="D437" s="7" t="s">
        <v>29</v>
      </c>
      <c r="E437" s="7" t="s">
        <v>82</v>
      </c>
      <c r="F437" s="7">
        <v>180</v>
      </c>
      <c r="G437" s="7">
        <v>30</v>
      </c>
      <c r="H437" s="7">
        <v>7</v>
      </c>
      <c r="I437" s="7">
        <v>10</v>
      </c>
    </row>
    <row r="438" spans="1:9">
      <c r="A438" s="7" t="s">
        <v>986</v>
      </c>
      <c r="B438" s="7" t="s">
        <v>1528</v>
      </c>
      <c r="C438" s="7" t="s">
        <v>976</v>
      </c>
      <c r="D438" s="7" t="s">
        <v>29</v>
      </c>
      <c r="E438" s="7" t="s">
        <v>82</v>
      </c>
      <c r="F438" s="7">
        <v>210</v>
      </c>
      <c r="G438" s="7">
        <v>30</v>
      </c>
      <c r="H438" s="7">
        <v>7</v>
      </c>
      <c r="I438" s="7">
        <v>8</v>
      </c>
    </row>
    <row r="439" spans="1:9">
      <c r="A439" s="7" t="s">
        <v>987</v>
      </c>
      <c r="B439" s="7" t="s">
        <v>1529</v>
      </c>
      <c r="C439" s="7" t="s">
        <v>976</v>
      </c>
      <c r="D439" s="7" t="s">
        <v>29</v>
      </c>
      <c r="E439" s="7" t="s">
        <v>83</v>
      </c>
      <c r="F439" s="7">
        <v>180</v>
      </c>
      <c r="G439" s="7">
        <v>15</v>
      </c>
      <c r="H439" s="7">
        <v>12</v>
      </c>
      <c r="I439" s="7">
        <v>15</v>
      </c>
    </row>
    <row r="440" spans="1:9">
      <c r="A440" s="7" t="s">
        <v>988</v>
      </c>
      <c r="B440" s="7" t="s">
        <v>1530</v>
      </c>
      <c r="C440" s="7" t="s">
        <v>976</v>
      </c>
      <c r="D440" s="7" t="s">
        <v>29</v>
      </c>
      <c r="E440" s="7" t="s">
        <v>83</v>
      </c>
      <c r="F440" s="7">
        <v>50</v>
      </c>
      <c r="G440" s="7">
        <v>15</v>
      </c>
      <c r="H440" s="7">
        <v>10</v>
      </c>
      <c r="I440" s="7">
        <v>60</v>
      </c>
    </row>
    <row r="441" spans="1:9">
      <c r="A441" s="7" t="s">
        <v>989</v>
      </c>
      <c r="B441" s="7" t="s">
        <v>1531</v>
      </c>
      <c r="C441" s="7" t="s">
        <v>976</v>
      </c>
      <c r="D441" s="7" t="s">
        <v>29</v>
      </c>
      <c r="E441" s="7" t="s">
        <v>83</v>
      </c>
      <c r="F441" s="7">
        <v>60</v>
      </c>
      <c r="G441" s="7">
        <v>10</v>
      </c>
      <c r="H441" s="7">
        <v>10</v>
      </c>
      <c r="I441" s="7">
        <v>60</v>
      </c>
    </row>
    <row r="442" spans="1:9">
      <c r="A442" s="7" t="s">
        <v>990</v>
      </c>
      <c r="B442" s="7" t="s">
        <v>1532</v>
      </c>
      <c r="C442" s="7" t="s">
        <v>976</v>
      </c>
      <c r="D442" s="7" t="s">
        <v>29</v>
      </c>
      <c r="E442" s="7" t="s">
        <v>83</v>
      </c>
      <c r="F442" s="7">
        <v>60</v>
      </c>
      <c r="G442" s="7">
        <v>15</v>
      </c>
      <c r="H442" s="7">
        <v>12</v>
      </c>
      <c r="I442" s="7">
        <v>40</v>
      </c>
    </row>
    <row r="443" spans="1:9">
      <c r="A443" s="7" t="s">
        <v>991</v>
      </c>
      <c r="B443" s="7" t="s">
        <v>1533</v>
      </c>
      <c r="C443" s="7" t="s">
        <v>976</v>
      </c>
      <c r="D443" s="7" t="s">
        <v>29</v>
      </c>
      <c r="E443" s="7" t="s">
        <v>83</v>
      </c>
      <c r="F443" s="7">
        <v>60</v>
      </c>
      <c r="G443" s="7">
        <v>9</v>
      </c>
      <c r="H443" s="7">
        <v>9</v>
      </c>
      <c r="I443" s="7">
        <v>80</v>
      </c>
    </row>
    <row r="444" spans="1:9">
      <c r="A444" s="7" t="s">
        <v>992</v>
      </c>
      <c r="B444" s="7" t="s">
        <v>1534</v>
      </c>
      <c r="C444" s="7" t="s">
        <v>976</v>
      </c>
      <c r="D444" s="7" t="s">
        <v>29</v>
      </c>
      <c r="E444" s="7" t="s">
        <v>83</v>
      </c>
      <c r="F444" s="7">
        <v>90</v>
      </c>
      <c r="G444" s="7">
        <v>10</v>
      </c>
      <c r="H444" s="7">
        <v>10</v>
      </c>
      <c r="I444" s="7">
        <v>40</v>
      </c>
    </row>
    <row r="445" spans="1:9">
      <c r="A445" s="7" t="s">
        <v>993</v>
      </c>
      <c r="B445" s="7" t="s">
        <v>1535</v>
      </c>
      <c r="C445" s="7" t="s">
        <v>976</v>
      </c>
      <c r="D445" s="7" t="s">
        <v>29</v>
      </c>
      <c r="E445" s="7" t="s">
        <v>83</v>
      </c>
      <c r="F445" s="7">
        <v>90</v>
      </c>
      <c r="G445" s="7">
        <v>15</v>
      </c>
      <c r="H445" s="7">
        <v>12</v>
      </c>
      <c r="I445" s="7">
        <v>30</v>
      </c>
    </row>
    <row r="446" spans="1:9">
      <c r="A446" s="7" t="s">
        <v>994</v>
      </c>
      <c r="B446" s="7" t="s">
        <v>1536</v>
      </c>
      <c r="C446" s="7" t="s">
        <v>976</v>
      </c>
      <c r="D446" s="7" t="s">
        <v>29</v>
      </c>
      <c r="E446" s="7" t="s">
        <v>74</v>
      </c>
      <c r="F446" s="7">
        <v>100</v>
      </c>
      <c r="G446" s="7">
        <v>25</v>
      </c>
      <c r="H446" s="7">
        <v>10</v>
      </c>
      <c r="I446" s="7">
        <v>18</v>
      </c>
    </row>
    <row r="447" spans="1:9">
      <c r="A447" s="7" t="s">
        <v>995</v>
      </c>
      <c r="B447" s="7" t="s">
        <v>1537</v>
      </c>
      <c r="C447" s="7" t="s">
        <v>976</v>
      </c>
      <c r="D447" s="7" t="s">
        <v>29</v>
      </c>
      <c r="E447" s="7" t="s">
        <v>74</v>
      </c>
      <c r="F447" s="7">
        <v>100</v>
      </c>
      <c r="G447" s="7">
        <v>25</v>
      </c>
      <c r="H447" s="7">
        <v>10</v>
      </c>
      <c r="I447" s="7">
        <v>20</v>
      </c>
    </row>
    <row r="448" spans="1:9">
      <c r="A448" s="7" t="s">
        <v>996</v>
      </c>
      <c r="B448" s="7" t="s">
        <v>1538</v>
      </c>
      <c r="C448" s="7" t="s">
        <v>976</v>
      </c>
      <c r="D448" s="7" t="s">
        <v>29</v>
      </c>
      <c r="E448" s="7" t="s">
        <v>74</v>
      </c>
      <c r="F448" s="7">
        <v>125</v>
      </c>
      <c r="G448" s="7">
        <v>25</v>
      </c>
      <c r="H448" s="7">
        <v>10</v>
      </c>
      <c r="I448" s="7">
        <v>16</v>
      </c>
    </row>
    <row r="449" spans="1:9">
      <c r="A449" s="7" t="s">
        <v>997</v>
      </c>
      <c r="B449" s="7" t="s">
        <v>1539</v>
      </c>
      <c r="C449" s="7" t="s">
        <v>976</v>
      </c>
      <c r="D449" s="7" t="s">
        <v>29</v>
      </c>
      <c r="E449" s="7" t="s">
        <v>74</v>
      </c>
      <c r="F449" s="7">
        <v>150</v>
      </c>
      <c r="G449" s="7">
        <v>25</v>
      </c>
      <c r="H449" s="7">
        <v>10</v>
      </c>
      <c r="I449" s="7">
        <v>14</v>
      </c>
    </row>
    <row r="450" spans="1:9">
      <c r="A450" s="7" t="s">
        <v>998</v>
      </c>
      <c r="B450" s="7" t="s">
        <v>1540</v>
      </c>
      <c r="C450" s="7" t="s">
        <v>976</v>
      </c>
      <c r="D450" s="7" t="s">
        <v>29</v>
      </c>
      <c r="E450" s="7" t="s">
        <v>74</v>
      </c>
      <c r="F450" s="7">
        <v>150</v>
      </c>
      <c r="G450" s="7">
        <v>25</v>
      </c>
      <c r="H450" s="7">
        <v>10</v>
      </c>
      <c r="I450" s="7">
        <v>16</v>
      </c>
    </row>
    <row r="451" spans="1:9">
      <c r="A451" s="7" t="s">
        <v>999</v>
      </c>
      <c r="B451" s="7" t="s">
        <v>1541</v>
      </c>
      <c r="C451" s="7" t="s">
        <v>976</v>
      </c>
      <c r="D451" s="7" t="s">
        <v>29</v>
      </c>
      <c r="E451" s="7" t="s">
        <v>74</v>
      </c>
      <c r="F451" s="7">
        <v>200</v>
      </c>
      <c r="G451" s="7">
        <v>25</v>
      </c>
      <c r="H451" s="7">
        <v>10</v>
      </c>
      <c r="I451" s="7">
        <v>10</v>
      </c>
    </row>
    <row r="452" spans="1:9">
      <c r="A452" s="7" t="s">
        <v>1000</v>
      </c>
      <c r="B452" s="7" t="s">
        <v>1542</v>
      </c>
      <c r="C452" s="7" t="s">
        <v>976</v>
      </c>
      <c r="D452" s="7" t="s">
        <v>29</v>
      </c>
      <c r="E452" s="7" t="s">
        <v>74</v>
      </c>
      <c r="F452" s="7">
        <v>250</v>
      </c>
      <c r="G452" s="7">
        <v>25</v>
      </c>
      <c r="H452" s="7">
        <v>10</v>
      </c>
      <c r="I452" s="7">
        <v>8</v>
      </c>
    </row>
    <row r="453" spans="1:9">
      <c r="A453" s="7" t="s">
        <v>1001</v>
      </c>
      <c r="B453" s="7" t="s">
        <v>1543</v>
      </c>
      <c r="C453" s="7" t="s">
        <v>976</v>
      </c>
      <c r="D453" s="7" t="s">
        <v>29</v>
      </c>
      <c r="E453" s="7" t="s">
        <v>74</v>
      </c>
      <c r="F453" s="7">
        <v>50</v>
      </c>
      <c r="G453" s="7">
        <v>25</v>
      </c>
      <c r="H453" s="7">
        <v>10</v>
      </c>
      <c r="I453" s="7">
        <v>36</v>
      </c>
    </row>
    <row r="454" spans="1:9">
      <c r="A454" s="7" t="s">
        <v>1002</v>
      </c>
      <c r="B454" s="7" t="s">
        <v>1544</v>
      </c>
      <c r="C454" s="7" t="s">
        <v>976</v>
      </c>
      <c r="D454" s="7" t="s">
        <v>29</v>
      </c>
      <c r="E454" s="7" t="s">
        <v>74</v>
      </c>
      <c r="F454" s="7">
        <v>75</v>
      </c>
      <c r="G454" s="7">
        <v>25</v>
      </c>
      <c r="H454" s="7">
        <v>10</v>
      </c>
      <c r="I454" s="7">
        <v>20</v>
      </c>
    </row>
    <row r="455" spans="1:9">
      <c r="A455" s="7" t="s">
        <v>1003</v>
      </c>
      <c r="B455" s="7" t="s">
        <v>1545</v>
      </c>
      <c r="C455" s="7" t="s">
        <v>976</v>
      </c>
      <c r="D455" s="7" t="s">
        <v>29</v>
      </c>
      <c r="E455" s="7" t="s">
        <v>943</v>
      </c>
      <c r="F455" s="7">
        <v>90</v>
      </c>
      <c r="G455" s="7">
        <v>10</v>
      </c>
      <c r="H455" s="7">
        <v>10</v>
      </c>
      <c r="I455" s="7">
        <v>42</v>
      </c>
    </row>
    <row r="456" spans="1:9">
      <c r="A456" s="7" t="s">
        <v>1004</v>
      </c>
      <c r="B456" s="7" t="s">
        <v>1546</v>
      </c>
      <c r="C456" s="7" t="s">
        <v>976</v>
      </c>
      <c r="D456" s="7" t="s">
        <v>10</v>
      </c>
      <c r="E456" s="7" t="s">
        <v>82</v>
      </c>
      <c r="F456" s="7">
        <v>30</v>
      </c>
      <c r="G456" s="7">
        <v>30</v>
      </c>
      <c r="H456" s="7">
        <v>6</v>
      </c>
      <c r="I456" s="7">
        <v>72</v>
      </c>
    </row>
    <row r="457" spans="1:9">
      <c r="A457" s="7" t="s">
        <v>1005</v>
      </c>
      <c r="B457" s="7" t="s">
        <v>1547</v>
      </c>
      <c r="C457" s="7" t="s">
        <v>976</v>
      </c>
      <c r="D457" s="7" t="s">
        <v>10</v>
      </c>
      <c r="E457" s="7" t="s">
        <v>82</v>
      </c>
      <c r="F457" s="7">
        <v>60</v>
      </c>
      <c r="G457" s="7">
        <v>30</v>
      </c>
      <c r="H457" s="7">
        <v>6</v>
      </c>
      <c r="I457" s="7">
        <v>36</v>
      </c>
    </row>
    <row r="458" spans="1:9">
      <c r="A458" s="7" t="s">
        <v>1006</v>
      </c>
      <c r="B458" s="7" t="s">
        <v>1548</v>
      </c>
      <c r="C458" s="7" t="s">
        <v>976</v>
      </c>
      <c r="D458" s="7" t="s">
        <v>10</v>
      </c>
      <c r="E458" s="7" t="s">
        <v>82</v>
      </c>
      <c r="F458" s="7">
        <v>60</v>
      </c>
      <c r="G458" s="7">
        <v>30</v>
      </c>
      <c r="H458" s="7">
        <v>7</v>
      </c>
      <c r="I458" s="7">
        <v>36</v>
      </c>
    </row>
    <row r="459" spans="1:9">
      <c r="A459" s="7" t="s">
        <v>1007</v>
      </c>
      <c r="B459" s="7" t="s">
        <v>1549</v>
      </c>
      <c r="C459" s="7" t="s">
        <v>976</v>
      </c>
      <c r="D459" s="7" t="s">
        <v>10</v>
      </c>
      <c r="E459" s="7" t="s">
        <v>82</v>
      </c>
      <c r="F459" s="7">
        <v>60</v>
      </c>
      <c r="G459" s="7">
        <v>40</v>
      </c>
      <c r="H459" s="7">
        <v>6</v>
      </c>
      <c r="I459" s="7">
        <v>28</v>
      </c>
    </row>
    <row r="460" spans="1:9">
      <c r="A460" s="7" t="s">
        <v>1008</v>
      </c>
      <c r="B460" s="7" t="s">
        <v>1550</v>
      </c>
      <c r="C460" s="7" t="s">
        <v>976</v>
      </c>
      <c r="D460" s="7" t="s">
        <v>10</v>
      </c>
      <c r="E460" s="7" t="s">
        <v>82</v>
      </c>
      <c r="F460" s="7">
        <v>90</v>
      </c>
      <c r="G460" s="7">
        <v>45</v>
      </c>
      <c r="H460" s="7">
        <v>7</v>
      </c>
      <c r="I460" s="7">
        <v>14</v>
      </c>
    </row>
    <row r="461" spans="1:9">
      <c r="A461" s="7" t="s">
        <v>1009</v>
      </c>
      <c r="B461" s="7" t="s">
        <v>1551</v>
      </c>
      <c r="C461" s="7" t="s">
        <v>976</v>
      </c>
      <c r="D461" s="7" t="s">
        <v>10</v>
      </c>
      <c r="E461" s="7" t="s">
        <v>972</v>
      </c>
      <c r="F461" s="7">
        <v>90</v>
      </c>
      <c r="G461" s="7">
        <v>45</v>
      </c>
      <c r="H461" s="7">
        <v>7</v>
      </c>
      <c r="I461" s="7">
        <v>16</v>
      </c>
    </row>
    <row r="462" spans="1:9">
      <c r="A462" s="7" t="s">
        <v>1010</v>
      </c>
      <c r="B462" s="7" t="s">
        <v>1552</v>
      </c>
      <c r="C462" s="7" t="s">
        <v>976</v>
      </c>
      <c r="D462" s="7" t="s">
        <v>10</v>
      </c>
      <c r="E462" s="7" t="s">
        <v>972</v>
      </c>
      <c r="F462" s="7">
        <v>90</v>
      </c>
      <c r="G462" s="7">
        <v>60</v>
      </c>
      <c r="H462" s="7">
        <v>8</v>
      </c>
      <c r="I462" s="7">
        <v>10</v>
      </c>
    </row>
    <row r="463" spans="1:9">
      <c r="A463" s="7" t="s">
        <v>1011</v>
      </c>
      <c r="B463" s="7" t="s">
        <v>1553</v>
      </c>
      <c r="C463" s="7" t="s">
        <v>976</v>
      </c>
      <c r="D463" s="7" t="s">
        <v>10</v>
      </c>
      <c r="E463" s="7" t="s">
        <v>834</v>
      </c>
      <c r="F463" s="7">
        <v>30</v>
      </c>
      <c r="G463" s="7">
        <v>30</v>
      </c>
      <c r="H463" s="7">
        <v>3</v>
      </c>
      <c r="I463" s="7">
        <v>100</v>
      </c>
    </row>
    <row r="464" spans="1:9">
      <c r="A464" s="7" t="s">
        <v>1012</v>
      </c>
      <c r="B464" s="7" t="s">
        <v>1554</v>
      </c>
      <c r="C464" s="7" t="s">
        <v>976</v>
      </c>
      <c r="D464" s="7" t="s">
        <v>39</v>
      </c>
      <c r="E464" s="7" t="s">
        <v>1013</v>
      </c>
      <c r="F464" s="7" t="s">
        <v>473</v>
      </c>
      <c r="G464" s="7" t="s">
        <v>473</v>
      </c>
      <c r="H464" s="7">
        <v>8</v>
      </c>
      <c r="I464" s="7">
        <v>20</v>
      </c>
    </row>
    <row r="465" spans="1:9">
      <c r="A465" s="7" t="s">
        <v>1014</v>
      </c>
      <c r="B465" s="7" t="s">
        <v>1555</v>
      </c>
      <c r="C465" s="7" t="s">
        <v>1015</v>
      </c>
      <c r="D465" s="7" t="s">
        <v>32</v>
      </c>
      <c r="E465" s="7" t="s">
        <v>83</v>
      </c>
      <c r="F465" s="7">
        <v>200</v>
      </c>
      <c r="G465" s="7">
        <v>33</v>
      </c>
      <c r="H465" s="7">
        <v>15</v>
      </c>
      <c r="I465" s="7">
        <v>4</v>
      </c>
    </row>
    <row r="466" spans="1:9">
      <c r="A466" s="7" t="s">
        <v>1016</v>
      </c>
      <c r="B466" s="7" t="s">
        <v>1556</v>
      </c>
      <c r="C466" s="7" t="s">
        <v>1015</v>
      </c>
      <c r="D466" s="7" t="s">
        <v>32</v>
      </c>
      <c r="E466" s="7" t="s">
        <v>1017</v>
      </c>
      <c r="F466" s="7">
        <v>100</v>
      </c>
      <c r="G466" s="7">
        <v>30</v>
      </c>
      <c r="H466" s="7">
        <v>16</v>
      </c>
      <c r="I466" s="7">
        <v>9</v>
      </c>
    </row>
    <row r="467" spans="1:9">
      <c r="A467" s="7" t="s">
        <v>1018</v>
      </c>
      <c r="B467" s="7" t="s">
        <v>1557</v>
      </c>
      <c r="C467" s="7" t="s">
        <v>1015</v>
      </c>
      <c r="D467" s="7" t="s">
        <v>32</v>
      </c>
      <c r="E467" s="7" t="s">
        <v>1017</v>
      </c>
      <c r="F467" s="7">
        <v>100</v>
      </c>
      <c r="G467" s="7">
        <v>35</v>
      </c>
      <c r="H467" s="7">
        <v>15</v>
      </c>
      <c r="I467" s="7">
        <v>10</v>
      </c>
    </row>
    <row r="468" spans="1:9">
      <c r="A468" s="7" t="s">
        <v>1019</v>
      </c>
      <c r="B468" s="7" t="s">
        <v>1558</v>
      </c>
      <c r="C468" s="7" t="s">
        <v>1015</v>
      </c>
      <c r="D468" s="7" t="s">
        <v>32</v>
      </c>
      <c r="E468" s="7" t="s">
        <v>1017</v>
      </c>
      <c r="F468" s="7">
        <v>100</v>
      </c>
      <c r="G468" s="7">
        <v>35</v>
      </c>
      <c r="H468" s="7">
        <v>15</v>
      </c>
      <c r="I468" s="7">
        <v>8</v>
      </c>
    </row>
    <row r="469" spans="1:9">
      <c r="A469" s="7" t="s">
        <v>1020</v>
      </c>
      <c r="B469" s="7" t="s">
        <v>1559</v>
      </c>
      <c r="C469" s="7" t="s">
        <v>1015</v>
      </c>
      <c r="D469" s="7" t="s">
        <v>32</v>
      </c>
      <c r="E469" s="7" t="s">
        <v>1017</v>
      </c>
      <c r="F469" s="7">
        <v>120</v>
      </c>
      <c r="G469" s="7">
        <v>35</v>
      </c>
      <c r="H469" s="7">
        <v>15</v>
      </c>
      <c r="I469" s="7">
        <v>8</v>
      </c>
    </row>
    <row r="470" spans="1:9">
      <c r="A470" s="7" t="s">
        <v>1021</v>
      </c>
      <c r="B470" s="7" t="s">
        <v>1560</v>
      </c>
      <c r="C470" s="7" t="s">
        <v>1015</v>
      </c>
      <c r="D470" s="7" t="s">
        <v>32</v>
      </c>
      <c r="E470" s="7" t="s">
        <v>1017</v>
      </c>
      <c r="F470" s="7">
        <v>125</v>
      </c>
      <c r="G470" s="7">
        <v>30</v>
      </c>
      <c r="H470" s="7">
        <v>16</v>
      </c>
      <c r="I470" s="7">
        <v>6</v>
      </c>
    </row>
    <row r="471" spans="1:9">
      <c r="A471" s="7" t="s">
        <v>1022</v>
      </c>
      <c r="B471" s="7" t="s">
        <v>1561</v>
      </c>
      <c r="C471" s="7" t="s">
        <v>1015</v>
      </c>
      <c r="D471" s="7" t="s">
        <v>32</v>
      </c>
      <c r="E471" s="7" t="s">
        <v>1017</v>
      </c>
      <c r="F471" s="7">
        <v>150</v>
      </c>
      <c r="G471" s="7">
        <v>30</v>
      </c>
      <c r="H471" s="7">
        <v>16</v>
      </c>
      <c r="I471" s="7">
        <v>6</v>
      </c>
    </row>
    <row r="472" spans="1:9">
      <c r="A472" s="7" t="s">
        <v>1023</v>
      </c>
      <c r="B472" s="7" t="s">
        <v>1562</v>
      </c>
      <c r="C472" s="7" t="s">
        <v>1015</v>
      </c>
      <c r="D472" s="7" t="s">
        <v>32</v>
      </c>
      <c r="E472" s="7" t="s">
        <v>1017</v>
      </c>
      <c r="F472" s="7">
        <v>150</v>
      </c>
      <c r="G472" s="7">
        <v>35</v>
      </c>
      <c r="H472" s="7">
        <v>15</v>
      </c>
      <c r="I472" s="7">
        <v>5</v>
      </c>
    </row>
    <row r="473" spans="1:9">
      <c r="A473" s="7" t="s">
        <v>1024</v>
      </c>
      <c r="B473" s="7" t="s">
        <v>1563</v>
      </c>
      <c r="C473" s="7" t="s">
        <v>1015</v>
      </c>
      <c r="D473" s="7" t="s">
        <v>32</v>
      </c>
      <c r="E473" s="7" t="s">
        <v>1017</v>
      </c>
      <c r="F473" s="7">
        <v>150</v>
      </c>
      <c r="G473" s="7">
        <v>35</v>
      </c>
      <c r="H473" s="7">
        <v>15</v>
      </c>
      <c r="I473" s="7">
        <v>6</v>
      </c>
    </row>
    <row r="474" spans="1:9">
      <c r="A474" s="7" t="s">
        <v>1025</v>
      </c>
      <c r="B474" s="7" t="s">
        <v>1564</v>
      </c>
      <c r="C474" s="7" t="s">
        <v>1015</v>
      </c>
      <c r="D474" s="7" t="s">
        <v>32</v>
      </c>
      <c r="E474" s="7" t="s">
        <v>1017</v>
      </c>
      <c r="F474" s="7">
        <v>60</v>
      </c>
      <c r="G474" s="7">
        <v>35</v>
      </c>
      <c r="H474" s="7">
        <v>15</v>
      </c>
      <c r="I474" s="7">
        <v>16</v>
      </c>
    </row>
    <row r="475" spans="1:9">
      <c r="A475" s="7" t="s">
        <v>1026</v>
      </c>
      <c r="B475" s="7" t="s">
        <v>1565</v>
      </c>
      <c r="C475" s="7" t="s">
        <v>1015</v>
      </c>
      <c r="D475" s="7" t="s">
        <v>32</v>
      </c>
      <c r="E475" s="7" t="s">
        <v>1017</v>
      </c>
      <c r="F475" s="7">
        <v>80</v>
      </c>
      <c r="G475" s="7">
        <v>35</v>
      </c>
      <c r="H475" s="7">
        <v>15</v>
      </c>
      <c r="I475" s="7">
        <v>12</v>
      </c>
    </row>
    <row r="476" spans="1:9">
      <c r="A476" s="7" t="s">
        <v>1027</v>
      </c>
      <c r="B476" s="7" t="s">
        <v>1566</v>
      </c>
      <c r="C476" s="7" t="s">
        <v>1015</v>
      </c>
      <c r="D476" s="7" t="s">
        <v>35</v>
      </c>
      <c r="E476" s="7" t="s">
        <v>1028</v>
      </c>
      <c r="F476" s="7">
        <v>60</v>
      </c>
      <c r="G476" s="7">
        <v>20</v>
      </c>
      <c r="H476" s="7">
        <v>6</v>
      </c>
      <c r="I476" s="7">
        <v>48</v>
      </c>
    </row>
    <row r="477" spans="1:9">
      <c r="A477" s="7" t="s">
        <v>1029</v>
      </c>
      <c r="B477" s="7" t="s">
        <v>1567</v>
      </c>
      <c r="C477" s="7" t="s">
        <v>1015</v>
      </c>
      <c r="D477" s="7" t="s">
        <v>28</v>
      </c>
      <c r="E477" s="7" t="s">
        <v>83</v>
      </c>
      <c r="F477" s="7">
        <v>19</v>
      </c>
      <c r="G477" s="7">
        <v>9</v>
      </c>
      <c r="H477" s="7">
        <v>9</v>
      </c>
      <c r="I477" s="7">
        <v>250</v>
      </c>
    </row>
    <row r="478" spans="1:9">
      <c r="A478" s="7" t="s">
        <v>1030</v>
      </c>
      <c r="B478" s="7" t="s">
        <v>1568</v>
      </c>
      <c r="C478" s="7" t="s">
        <v>1015</v>
      </c>
      <c r="D478" s="7" t="s">
        <v>28</v>
      </c>
      <c r="E478" s="7" t="s">
        <v>1031</v>
      </c>
      <c r="F478" s="7">
        <v>9</v>
      </c>
      <c r="G478" s="7">
        <v>9</v>
      </c>
      <c r="H478" s="7">
        <v>5</v>
      </c>
      <c r="I478" s="7">
        <v>1000</v>
      </c>
    </row>
    <row r="479" spans="1:9">
      <c r="A479" s="7" t="s">
        <v>1032</v>
      </c>
      <c r="B479" s="7" t="s">
        <v>1569</v>
      </c>
      <c r="C479" s="7" t="s">
        <v>1015</v>
      </c>
      <c r="D479" s="7" t="s">
        <v>28</v>
      </c>
      <c r="E479" s="7" t="s">
        <v>1031</v>
      </c>
      <c r="F479" s="7">
        <v>9</v>
      </c>
      <c r="G479" s="7">
        <v>9</v>
      </c>
      <c r="H479" s="7">
        <v>9</v>
      </c>
      <c r="I479" s="7">
        <v>500</v>
      </c>
    </row>
    <row r="480" spans="1:9">
      <c r="A480" s="7" t="s">
        <v>1033</v>
      </c>
      <c r="B480" s="7" t="s">
        <v>1570</v>
      </c>
      <c r="C480" s="7" t="s">
        <v>1015</v>
      </c>
      <c r="D480" s="7" t="s">
        <v>28</v>
      </c>
      <c r="E480" s="7" t="s">
        <v>83</v>
      </c>
      <c r="F480" s="7">
        <v>29</v>
      </c>
      <c r="G480" s="7">
        <v>9</v>
      </c>
      <c r="H480" s="7">
        <v>9</v>
      </c>
      <c r="I480" s="7">
        <v>180</v>
      </c>
    </row>
    <row r="481" spans="1:9">
      <c r="A481" s="7" t="s">
        <v>1034</v>
      </c>
      <c r="B481" s="7" t="s">
        <v>1571</v>
      </c>
      <c r="C481" s="7" t="s">
        <v>1015</v>
      </c>
      <c r="D481" s="7" t="s">
        <v>28</v>
      </c>
      <c r="E481" s="7" t="s">
        <v>751</v>
      </c>
      <c r="F481" s="7">
        <v>10</v>
      </c>
      <c r="G481" s="7">
        <v>10</v>
      </c>
      <c r="H481" s="7">
        <v>3</v>
      </c>
      <c r="I481" s="7">
        <v>1980</v>
      </c>
    </row>
    <row r="482" spans="1:9">
      <c r="A482" s="7" t="s">
        <v>1035</v>
      </c>
      <c r="B482" s="7" t="s">
        <v>1572</v>
      </c>
      <c r="C482" s="7" t="s">
        <v>1015</v>
      </c>
      <c r="D482" s="7" t="s">
        <v>28</v>
      </c>
      <c r="E482" s="7" t="s">
        <v>751</v>
      </c>
      <c r="F482" s="7">
        <v>10</v>
      </c>
      <c r="G482" s="7">
        <v>10</v>
      </c>
      <c r="H482" s="7">
        <v>6</v>
      </c>
      <c r="I482" s="7">
        <v>900</v>
      </c>
    </row>
    <row r="483" spans="1:9">
      <c r="A483" s="7" t="s">
        <v>1036</v>
      </c>
      <c r="B483" s="7" t="s">
        <v>1573</v>
      </c>
      <c r="C483" s="7" t="s">
        <v>1015</v>
      </c>
      <c r="D483" s="7" t="s">
        <v>29</v>
      </c>
      <c r="E483" s="7" t="s">
        <v>82</v>
      </c>
      <c r="F483" s="7">
        <v>60</v>
      </c>
      <c r="G483" s="7">
        <v>30</v>
      </c>
      <c r="H483" s="7">
        <v>6</v>
      </c>
      <c r="I483" s="7">
        <v>36</v>
      </c>
    </row>
    <row r="484" spans="1:9">
      <c r="A484" s="7" t="s">
        <v>1037</v>
      </c>
      <c r="B484" s="7" t="s">
        <v>1574</v>
      </c>
      <c r="C484" s="7" t="s">
        <v>1015</v>
      </c>
      <c r="D484" s="7" t="s">
        <v>29</v>
      </c>
      <c r="E484" s="7" t="s">
        <v>82</v>
      </c>
      <c r="F484" s="7">
        <v>60</v>
      </c>
      <c r="G484" s="7">
        <v>40</v>
      </c>
      <c r="H484" s="7">
        <v>6</v>
      </c>
      <c r="I484" s="7">
        <v>28</v>
      </c>
    </row>
    <row r="485" spans="1:9">
      <c r="A485" s="7" t="s">
        <v>1038</v>
      </c>
      <c r="B485" s="7" t="s">
        <v>1575</v>
      </c>
      <c r="C485" s="7" t="s">
        <v>1015</v>
      </c>
      <c r="D485" s="7" t="s">
        <v>29</v>
      </c>
      <c r="E485" s="7" t="s">
        <v>1039</v>
      </c>
      <c r="F485" s="7">
        <v>100</v>
      </c>
      <c r="G485" s="7">
        <v>20</v>
      </c>
      <c r="H485" s="7">
        <v>8</v>
      </c>
      <c r="I485" s="7">
        <v>24</v>
      </c>
    </row>
    <row r="486" spans="1:9">
      <c r="A486" s="7" t="s">
        <v>1040</v>
      </c>
      <c r="B486" s="7" t="s">
        <v>1576</v>
      </c>
      <c r="C486" s="7" t="s">
        <v>1015</v>
      </c>
      <c r="D486" s="7" t="s">
        <v>29</v>
      </c>
      <c r="E486" s="7" t="s">
        <v>742</v>
      </c>
      <c r="F486" s="7">
        <v>100</v>
      </c>
      <c r="G486" s="7">
        <v>25</v>
      </c>
      <c r="H486" s="7">
        <v>10</v>
      </c>
      <c r="I486" s="7">
        <v>20</v>
      </c>
    </row>
    <row r="487" spans="1:9">
      <c r="A487" s="7" t="s">
        <v>1041</v>
      </c>
      <c r="B487" s="7" t="s">
        <v>1577</v>
      </c>
      <c r="C487" s="7" t="s">
        <v>1015</v>
      </c>
      <c r="D487" s="7" t="s">
        <v>29</v>
      </c>
      <c r="E487" s="7" t="s">
        <v>742</v>
      </c>
      <c r="F487" s="7">
        <v>100</v>
      </c>
      <c r="G487" s="7">
        <v>25</v>
      </c>
      <c r="H487" s="7">
        <v>6</v>
      </c>
      <c r="I487" s="7">
        <v>32</v>
      </c>
    </row>
    <row r="488" spans="1:9">
      <c r="A488" s="7" t="s">
        <v>1042</v>
      </c>
      <c r="B488" s="7" t="s">
        <v>1578</v>
      </c>
      <c r="C488" s="7" t="s">
        <v>1015</v>
      </c>
      <c r="D488" s="7" t="s">
        <v>29</v>
      </c>
      <c r="E488" s="7" t="s">
        <v>1043</v>
      </c>
      <c r="F488" s="7">
        <v>100</v>
      </c>
      <c r="G488" s="7">
        <v>25</v>
      </c>
      <c r="H488" s="7">
        <v>8</v>
      </c>
      <c r="I488" s="7">
        <v>20</v>
      </c>
    </row>
    <row r="489" spans="1:9">
      <c r="A489" s="7" t="s">
        <v>1044</v>
      </c>
      <c r="B489" s="7" t="s">
        <v>1579</v>
      </c>
      <c r="C489" s="7" t="s">
        <v>1015</v>
      </c>
      <c r="D489" s="7" t="s">
        <v>29</v>
      </c>
      <c r="E489" s="7" t="s">
        <v>742</v>
      </c>
      <c r="F489" s="7">
        <v>100</v>
      </c>
      <c r="G489" s="7">
        <v>25</v>
      </c>
      <c r="H489" s="7">
        <v>8</v>
      </c>
      <c r="I489" s="7">
        <v>24</v>
      </c>
    </row>
    <row r="490" spans="1:9">
      <c r="A490" s="7" t="s">
        <v>1045</v>
      </c>
      <c r="B490" s="7" t="s">
        <v>1580</v>
      </c>
      <c r="C490" s="7" t="s">
        <v>1015</v>
      </c>
      <c r="D490" s="7" t="s">
        <v>29</v>
      </c>
      <c r="E490" s="7" t="s">
        <v>1043</v>
      </c>
      <c r="F490" s="7">
        <v>120</v>
      </c>
      <c r="G490" s="7">
        <v>25</v>
      </c>
      <c r="H490" s="7">
        <v>10</v>
      </c>
      <c r="I490" s="7">
        <v>14</v>
      </c>
    </row>
    <row r="491" spans="1:9">
      <c r="A491" s="7" t="s">
        <v>1046</v>
      </c>
      <c r="B491" s="7" t="s">
        <v>1581</v>
      </c>
      <c r="C491" s="7" t="s">
        <v>1015</v>
      </c>
      <c r="D491" s="7" t="s">
        <v>29</v>
      </c>
      <c r="E491" s="7" t="s">
        <v>742</v>
      </c>
      <c r="F491" s="7">
        <v>120</v>
      </c>
      <c r="G491" s="7">
        <v>25</v>
      </c>
      <c r="H491" s="7">
        <v>10</v>
      </c>
      <c r="I491" s="7">
        <v>18</v>
      </c>
    </row>
    <row r="492" spans="1:9">
      <c r="A492" s="7" t="s">
        <v>1047</v>
      </c>
      <c r="B492" s="7" t="s">
        <v>1582</v>
      </c>
      <c r="C492" s="7" t="s">
        <v>1015</v>
      </c>
      <c r="D492" s="7" t="s">
        <v>29</v>
      </c>
      <c r="E492" s="7" t="s">
        <v>1043</v>
      </c>
      <c r="F492" s="7">
        <v>125</v>
      </c>
      <c r="G492" s="7">
        <v>25</v>
      </c>
      <c r="H492" s="7">
        <v>8</v>
      </c>
      <c r="I492" s="7">
        <v>18</v>
      </c>
    </row>
    <row r="493" spans="1:9">
      <c r="A493" s="7" t="s">
        <v>1048</v>
      </c>
      <c r="B493" s="7" t="s">
        <v>1583</v>
      </c>
      <c r="C493" s="7" t="s">
        <v>1015</v>
      </c>
      <c r="D493" s="7" t="s">
        <v>29</v>
      </c>
      <c r="E493" s="7" t="s">
        <v>742</v>
      </c>
      <c r="F493" s="7">
        <v>150</v>
      </c>
      <c r="G493" s="7">
        <v>25</v>
      </c>
      <c r="H493" s="7">
        <v>10</v>
      </c>
      <c r="I493" s="7">
        <v>14</v>
      </c>
    </row>
    <row r="494" spans="1:9">
      <c r="A494" s="7" t="s">
        <v>1049</v>
      </c>
      <c r="B494" s="7" t="s">
        <v>1584</v>
      </c>
      <c r="C494" s="7" t="s">
        <v>1015</v>
      </c>
      <c r="D494" s="7" t="s">
        <v>29</v>
      </c>
      <c r="E494" s="7" t="s">
        <v>1043</v>
      </c>
      <c r="F494" s="7">
        <v>150</v>
      </c>
      <c r="G494" s="7">
        <v>25</v>
      </c>
      <c r="H494" s="7">
        <v>8</v>
      </c>
      <c r="I494" s="7">
        <v>16</v>
      </c>
    </row>
    <row r="495" spans="1:9">
      <c r="A495" s="7" t="s">
        <v>1050</v>
      </c>
      <c r="B495" s="7" t="s">
        <v>1585</v>
      </c>
      <c r="C495" s="7" t="s">
        <v>1015</v>
      </c>
      <c r="D495" s="7" t="s">
        <v>29</v>
      </c>
      <c r="E495" s="7" t="s">
        <v>742</v>
      </c>
      <c r="F495" s="7">
        <v>180</v>
      </c>
      <c r="G495" s="7">
        <v>25</v>
      </c>
      <c r="H495" s="7">
        <v>10</v>
      </c>
      <c r="I495" s="7">
        <v>12</v>
      </c>
    </row>
    <row r="496" spans="1:9">
      <c r="A496" s="7" t="s">
        <v>1051</v>
      </c>
      <c r="B496" s="7" t="s">
        <v>1586</v>
      </c>
      <c r="C496" s="7" t="s">
        <v>1015</v>
      </c>
      <c r="D496" s="7" t="s">
        <v>29</v>
      </c>
      <c r="E496" s="7" t="s">
        <v>742</v>
      </c>
      <c r="F496" s="7">
        <v>200</v>
      </c>
      <c r="G496" s="7">
        <v>25</v>
      </c>
      <c r="H496" s="7">
        <v>10</v>
      </c>
      <c r="I496" s="7">
        <v>10</v>
      </c>
    </row>
    <row r="497" spans="1:9">
      <c r="A497" s="7" t="s">
        <v>1052</v>
      </c>
      <c r="B497" s="7" t="s">
        <v>1587</v>
      </c>
      <c r="C497" s="7" t="s">
        <v>1015</v>
      </c>
      <c r="D497" s="7" t="s">
        <v>29</v>
      </c>
      <c r="E497" s="7" t="s">
        <v>742</v>
      </c>
      <c r="F497" s="7">
        <v>250</v>
      </c>
      <c r="G497" s="7">
        <v>25</v>
      </c>
      <c r="H497" s="7">
        <v>10</v>
      </c>
      <c r="I497" s="7">
        <v>8</v>
      </c>
    </row>
    <row r="498" spans="1:9">
      <c r="A498" s="7" t="s">
        <v>1053</v>
      </c>
      <c r="B498" s="7" t="s">
        <v>1588</v>
      </c>
      <c r="C498" s="7" t="s">
        <v>1015</v>
      </c>
      <c r="D498" s="7" t="s">
        <v>29</v>
      </c>
      <c r="E498" s="7" t="s">
        <v>742</v>
      </c>
      <c r="F498" s="7">
        <v>40</v>
      </c>
      <c r="G498" s="7">
        <v>25</v>
      </c>
      <c r="H498" s="7">
        <v>10</v>
      </c>
      <c r="I498" s="7">
        <v>40</v>
      </c>
    </row>
    <row r="499" spans="1:9">
      <c r="A499" s="7" t="s">
        <v>1054</v>
      </c>
      <c r="B499" s="7" t="s">
        <v>1589</v>
      </c>
      <c r="C499" s="7" t="s">
        <v>1015</v>
      </c>
      <c r="D499" s="7" t="s">
        <v>29</v>
      </c>
      <c r="E499" s="7" t="s">
        <v>1043</v>
      </c>
      <c r="F499" s="7">
        <v>50</v>
      </c>
      <c r="G499" s="7">
        <v>25</v>
      </c>
      <c r="H499" s="7">
        <v>8</v>
      </c>
      <c r="I499" s="7">
        <v>48</v>
      </c>
    </row>
    <row r="500" spans="1:9">
      <c r="A500" s="7" t="s">
        <v>1055</v>
      </c>
      <c r="B500" s="7" t="s">
        <v>1590</v>
      </c>
      <c r="C500" s="7" t="s">
        <v>1015</v>
      </c>
      <c r="D500" s="7" t="s">
        <v>29</v>
      </c>
      <c r="E500" s="7" t="s">
        <v>1043</v>
      </c>
      <c r="F500" s="7">
        <v>60</v>
      </c>
      <c r="G500" s="7">
        <v>25</v>
      </c>
      <c r="H500" s="7">
        <v>10</v>
      </c>
      <c r="I500" s="7">
        <v>28</v>
      </c>
    </row>
    <row r="501" spans="1:9">
      <c r="A501" s="7" t="s">
        <v>1056</v>
      </c>
      <c r="B501" s="7" t="s">
        <v>1591</v>
      </c>
      <c r="C501" s="7" t="s">
        <v>1015</v>
      </c>
      <c r="D501" s="7" t="s">
        <v>29</v>
      </c>
      <c r="E501" s="7" t="s">
        <v>742</v>
      </c>
      <c r="F501" s="7">
        <v>60</v>
      </c>
      <c r="G501" s="7">
        <v>25</v>
      </c>
      <c r="H501" s="7">
        <v>10</v>
      </c>
      <c r="I501" s="7">
        <v>36</v>
      </c>
    </row>
    <row r="502" spans="1:9">
      <c r="A502" s="7" t="s">
        <v>1057</v>
      </c>
      <c r="B502" s="7" t="s">
        <v>1592</v>
      </c>
      <c r="C502" s="7" t="s">
        <v>1015</v>
      </c>
      <c r="D502" s="7" t="s">
        <v>29</v>
      </c>
      <c r="E502" s="7" t="s">
        <v>1043</v>
      </c>
      <c r="F502" s="7">
        <v>75</v>
      </c>
      <c r="G502" s="7">
        <v>25</v>
      </c>
      <c r="H502" s="7">
        <v>8</v>
      </c>
      <c r="I502" s="7">
        <v>28</v>
      </c>
    </row>
    <row r="503" spans="1:9">
      <c r="A503" s="7" t="s">
        <v>1058</v>
      </c>
      <c r="B503" s="7" t="s">
        <v>1593</v>
      </c>
      <c r="C503" s="7" t="s">
        <v>1015</v>
      </c>
      <c r="D503" s="7" t="s">
        <v>29</v>
      </c>
      <c r="E503" s="7" t="s">
        <v>742</v>
      </c>
      <c r="F503" s="7">
        <v>80</v>
      </c>
      <c r="G503" s="7">
        <v>25</v>
      </c>
      <c r="H503" s="7">
        <v>10</v>
      </c>
      <c r="I503" s="7">
        <v>24</v>
      </c>
    </row>
    <row r="504" spans="1:9">
      <c r="A504" s="7" t="s">
        <v>1059</v>
      </c>
      <c r="B504" s="7" t="s">
        <v>1594</v>
      </c>
      <c r="C504" s="7" t="s">
        <v>1015</v>
      </c>
      <c r="D504" s="7" t="s">
        <v>10</v>
      </c>
      <c r="E504" s="7" t="s">
        <v>846</v>
      </c>
      <c r="F504" s="7">
        <v>100</v>
      </c>
      <c r="G504" s="7">
        <v>100</v>
      </c>
      <c r="H504" s="7">
        <v>3</v>
      </c>
      <c r="I504" s="7">
        <v>14</v>
      </c>
    </row>
    <row r="505" spans="1:9">
      <c r="A505" s="7" t="s">
        <v>1060</v>
      </c>
      <c r="B505" s="7" t="s">
        <v>1595</v>
      </c>
      <c r="C505" s="7" t="s">
        <v>1015</v>
      </c>
      <c r="D505" s="7" t="s">
        <v>10</v>
      </c>
      <c r="E505" s="7" t="s">
        <v>1061</v>
      </c>
      <c r="F505" s="7">
        <v>100</v>
      </c>
      <c r="G505" s="7">
        <v>35</v>
      </c>
      <c r="H505" s="7">
        <v>3</v>
      </c>
      <c r="I505" s="7">
        <v>30</v>
      </c>
    </row>
    <row r="506" spans="1:9">
      <c r="A506" s="7" t="s">
        <v>1062</v>
      </c>
      <c r="B506" s="7" t="s">
        <v>1596</v>
      </c>
      <c r="C506" s="7" t="s">
        <v>1015</v>
      </c>
      <c r="D506" s="7" t="s">
        <v>10</v>
      </c>
      <c r="E506" s="7" t="s">
        <v>846</v>
      </c>
      <c r="F506" s="7">
        <v>100</v>
      </c>
      <c r="G506" s="7">
        <v>50</v>
      </c>
      <c r="H506" s="7">
        <v>3</v>
      </c>
      <c r="I506" s="7">
        <v>24</v>
      </c>
    </row>
    <row r="507" spans="1:9">
      <c r="A507" s="7" t="s">
        <v>1063</v>
      </c>
      <c r="B507" s="7" t="s">
        <v>1597</v>
      </c>
      <c r="C507" s="7" t="s">
        <v>1015</v>
      </c>
      <c r="D507" s="7" t="s">
        <v>10</v>
      </c>
      <c r="E507" s="7" t="s">
        <v>1064</v>
      </c>
      <c r="F507" s="7">
        <v>40</v>
      </c>
      <c r="G507" s="7">
        <v>40</v>
      </c>
      <c r="H507" s="7">
        <v>3</v>
      </c>
      <c r="I507" s="7">
        <v>100</v>
      </c>
    </row>
    <row r="508" spans="1:9">
      <c r="A508" s="7" t="s">
        <v>1065</v>
      </c>
      <c r="B508" s="7" t="s">
        <v>1598</v>
      </c>
      <c r="C508" s="7" t="s">
        <v>1015</v>
      </c>
      <c r="D508" s="7" t="s">
        <v>10</v>
      </c>
      <c r="E508" s="7" t="s">
        <v>846</v>
      </c>
      <c r="F508" s="7">
        <v>50</v>
      </c>
      <c r="G508" s="7">
        <v>50</v>
      </c>
      <c r="H508" s="7">
        <v>2</v>
      </c>
      <c r="I508" s="7">
        <v>50</v>
      </c>
    </row>
    <row r="509" spans="1:9">
      <c r="A509" s="7" t="s">
        <v>1066</v>
      </c>
      <c r="B509" s="7" t="s">
        <v>1599</v>
      </c>
      <c r="C509" s="7" t="s">
        <v>1015</v>
      </c>
      <c r="D509" s="7" t="s">
        <v>10</v>
      </c>
      <c r="E509" s="7" t="s">
        <v>846</v>
      </c>
      <c r="F509" s="7">
        <v>50</v>
      </c>
      <c r="G509" s="7">
        <v>50</v>
      </c>
      <c r="H509" s="7">
        <v>3</v>
      </c>
      <c r="I509" s="7">
        <v>34</v>
      </c>
    </row>
    <row r="510" spans="1:9">
      <c r="A510" s="7" t="s">
        <v>1067</v>
      </c>
      <c r="B510" s="7" t="s">
        <v>1600</v>
      </c>
      <c r="C510" s="7" t="s">
        <v>1015</v>
      </c>
      <c r="D510" s="7" t="s">
        <v>10</v>
      </c>
      <c r="E510" s="7" t="s">
        <v>818</v>
      </c>
      <c r="F510" s="7">
        <v>60</v>
      </c>
      <c r="G510" s="7">
        <v>40</v>
      </c>
      <c r="H510" s="7">
        <v>2</v>
      </c>
      <c r="I510" s="7">
        <v>50</v>
      </c>
    </row>
    <row r="511" spans="1:9">
      <c r="A511" s="7" t="s">
        <v>1068</v>
      </c>
      <c r="B511" s="7" t="s">
        <v>1601</v>
      </c>
      <c r="C511" s="7" t="s">
        <v>1015</v>
      </c>
      <c r="D511" s="7" t="s">
        <v>10</v>
      </c>
      <c r="E511" s="7" t="s">
        <v>818</v>
      </c>
      <c r="F511" s="7">
        <v>60</v>
      </c>
      <c r="G511" s="7">
        <v>40</v>
      </c>
      <c r="H511" s="7">
        <v>3</v>
      </c>
      <c r="I511" s="7">
        <v>34</v>
      </c>
    </row>
    <row r="512" spans="1:9">
      <c r="A512" s="7" t="s">
        <v>1069</v>
      </c>
      <c r="B512" s="7" t="s">
        <v>1602</v>
      </c>
      <c r="C512" s="7" t="s">
        <v>1015</v>
      </c>
      <c r="D512" s="7" t="s">
        <v>10</v>
      </c>
      <c r="E512" s="7" t="s">
        <v>1064</v>
      </c>
      <c r="F512" s="7">
        <v>60</v>
      </c>
      <c r="G512" s="7">
        <v>40</v>
      </c>
      <c r="H512" s="7">
        <v>3</v>
      </c>
      <c r="I512" s="7">
        <v>68</v>
      </c>
    </row>
    <row r="513" spans="1:9">
      <c r="A513" s="7" t="s">
        <v>1070</v>
      </c>
      <c r="B513" s="7" t="s">
        <v>1603</v>
      </c>
      <c r="C513" s="7" t="s">
        <v>1015</v>
      </c>
      <c r="D513" s="7" t="s">
        <v>10</v>
      </c>
      <c r="E513" s="7" t="s">
        <v>1064</v>
      </c>
      <c r="F513" s="7">
        <v>60</v>
      </c>
      <c r="G513" s="7">
        <v>60</v>
      </c>
      <c r="H513" s="7">
        <v>3</v>
      </c>
      <c r="I513" s="7">
        <v>34</v>
      </c>
    </row>
    <row r="514" spans="1:9">
      <c r="A514" s="7" t="s">
        <v>1071</v>
      </c>
      <c r="B514" s="7" t="s">
        <v>1604</v>
      </c>
      <c r="C514" s="7" t="s">
        <v>1015</v>
      </c>
      <c r="D514" s="7" t="s">
        <v>10</v>
      </c>
      <c r="E514" s="7" t="s">
        <v>1072</v>
      </c>
      <c r="F514" s="7">
        <v>70</v>
      </c>
      <c r="G514" s="7">
        <v>50</v>
      </c>
      <c r="H514" s="7">
        <v>3</v>
      </c>
      <c r="I514" s="7">
        <v>34</v>
      </c>
    </row>
    <row r="515" spans="1:9">
      <c r="A515" s="7" t="s">
        <v>1073</v>
      </c>
      <c r="B515" s="7" t="s">
        <v>1605</v>
      </c>
      <c r="C515" s="7" t="s">
        <v>1015</v>
      </c>
      <c r="D515" s="7" t="s">
        <v>10</v>
      </c>
      <c r="E515" s="7" t="s">
        <v>1064</v>
      </c>
      <c r="F515" s="7">
        <v>80</v>
      </c>
      <c r="G515" s="7">
        <v>40</v>
      </c>
      <c r="H515" s="7">
        <v>3</v>
      </c>
      <c r="I515" s="7">
        <v>52</v>
      </c>
    </row>
    <row r="516" spans="1:9">
      <c r="A516" s="7" t="s">
        <v>1074</v>
      </c>
      <c r="B516" s="7" t="s">
        <v>1606</v>
      </c>
      <c r="C516" s="7" t="s">
        <v>1015</v>
      </c>
      <c r="D516" s="7" t="s">
        <v>10</v>
      </c>
      <c r="E516" s="7" t="s">
        <v>1064</v>
      </c>
      <c r="F516" s="7">
        <v>90</v>
      </c>
      <c r="G516" s="7">
        <v>60</v>
      </c>
      <c r="H516" s="7">
        <v>3</v>
      </c>
      <c r="I516" s="7">
        <v>25</v>
      </c>
    </row>
    <row r="517" spans="1:9">
      <c r="A517" s="7" t="s">
        <v>1075</v>
      </c>
      <c r="B517" s="7" t="s">
        <v>1607</v>
      </c>
      <c r="C517" s="7" t="s">
        <v>1015</v>
      </c>
      <c r="D517" s="7" t="s">
        <v>34</v>
      </c>
      <c r="E517" s="8" t="s">
        <v>1076</v>
      </c>
      <c r="F517" s="7">
        <v>100</v>
      </c>
      <c r="G517" s="7">
        <v>25</v>
      </c>
      <c r="H517" s="7">
        <v>4</v>
      </c>
      <c r="I517" s="7">
        <v>25</v>
      </c>
    </row>
    <row r="518" spans="1:9">
      <c r="A518" s="7" t="s">
        <v>1077</v>
      </c>
      <c r="B518" s="7" t="s">
        <v>1608</v>
      </c>
      <c r="C518" s="7" t="s">
        <v>1015</v>
      </c>
      <c r="D518" s="7" t="s">
        <v>34</v>
      </c>
      <c r="E518" s="8" t="s">
        <v>1076</v>
      </c>
      <c r="F518" s="7">
        <v>100</v>
      </c>
      <c r="G518" s="7">
        <v>30</v>
      </c>
      <c r="H518" s="7">
        <v>4</v>
      </c>
      <c r="I518" s="7">
        <v>25</v>
      </c>
    </row>
    <row r="519" spans="1:9">
      <c r="A519" s="7" t="s">
        <v>1078</v>
      </c>
      <c r="B519" s="7" t="s">
        <v>1609</v>
      </c>
      <c r="C519" s="7" t="s">
        <v>1015</v>
      </c>
      <c r="D519" s="7" t="s">
        <v>34</v>
      </c>
      <c r="E519" s="8" t="s">
        <v>1076</v>
      </c>
      <c r="F519" s="7">
        <v>100</v>
      </c>
      <c r="G519" s="7">
        <v>35</v>
      </c>
      <c r="H519" s="7">
        <v>4</v>
      </c>
      <c r="I519" s="7">
        <v>25</v>
      </c>
    </row>
    <row r="520" spans="1:9">
      <c r="A520" s="7" t="s">
        <v>1079</v>
      </c>
      <c r="B520" s="7" t="s">
        <v>1610</v>
      </c>
      <c r="C520" s="7" t="s">
        <v>1015</v>
      </c>
      <c r="D520" s="7" t="s">
        <v>34</v>
      </c>
      <c r="E520" s="8" t="s">
        <v>1076</v>
      </c>
      <c r="F520" s="7">
        <v>100</v>
      </c>
      <c r="G520" s="7">
        <v>40</v>
      </c>
      <c r="H520" s="7">
        <v>4</v>
      </c>
      <c r="I520" s="7">
        <v>25</v>
      </c>
    </row>
    <row r="521" spans="1:9">
      <c r="A521" s="7" t="s">
        <v>1080</v>
      </c>
      <c r="B521" s="7" t="s">
        <v>1611</v>
      </c>
      <c r="C521" s="7" t="s">
        <v>1015</v>
      </c>
      <c r="D521" s="7" t="s">
        <v>34</v>
      </c>
      <c r="E521" s="7" t="s">
        <v>1081</v>
      </c>
      <c r="F521" s="7">
        <v>55</v>
      </c>
      <c r="G521" s="7">
        <v>55</v>
      </c>
      <c r="H521" s="7">
        <v>10</v>
      </c>
      <c r="I521" s="7">
        <v>6</v>
      </c>
    </row>
    <row r="522" spans="1:9">
      <c r="A522" s="7" t="s">
        <v>1082</v>
      </c>
      <c r="B522" s="7" t="s">
        <v>1612</v>
      </c>
      <c r="C522" s="7" t="s">
        <v>1015</v>
      </c>
      <c r="D522" s="7" t="s">
        <v>34</v>
      </c>
      <c r="E522" s="7" t="s">
        <v>1083</v>
      </c>
      <c r="F522" s="7">
        <v>55</v>
      </c>
      <c r="G522" s="7">
        <v>55</v>
      </c>
      <c r="H522" s="7">
        <v>8</v>
      </c>
      <c r="I522" s="7">
        <v>4</v>
      </c>
    </row>
    <row r="523" spans="1:9">
      <c r="A523" s="7" t="s">
        <v>1084</v>
      </c>
      <c r="B523" s="7" t="s">
        <v>1613</v>
      </c>
      <c r="C523" s="7" t="s">
        <v>1015</v>
      </c>
      <c r="D523" s="7" t="s">
        <v>34</v>
      </c>
      <c r="E523" s="8" t="s">
        <v>1076</v>
      </c>
      <c r="F523" s="7">
        <v>60</v>
      </c>
      <c r="G523" s="7">
        <v>30</v>
      </c>
      <c r="H523" s="7">
        <v>3</v>
      </c>
      <c r="I523" s="7">
        <v>34</v>
      </c>
    </row>
    <row r="524" spans="1:9">
      <c r="A524" s="7" t="s">
        <v>1085</v>
      </c>
      <c r="B524" s="7" t="s">
        <v>1614</v>
      </c>
      <c r="C524" s="7" t="s">
        <v>1015</v>
      </c>
      <c r="D524" s="7" t="s">
        <v>34</v>
      </c>
      <c r="E524" s="8" t="s">
        <v>1076</v>
      </c>
      <c r="F524" s="7">
        <v>60</v>
      </c>
      <c r="G524" s="7">
        <v>35</v>
      </c>
      <c r="H524" s="7">
        <v>3</v>
      </c>
      <c r="I524" s="7">
        <v>34</v>
      </c>
    </row>
    <row r="525" spans="1:9">
      <c r="A525" s="7" t="s">
        <v>1086</v>
      </c>
      <c r="B525" s="7" t="s">
        <v>1615</v>
      </c>
      <c r="C525" s="7" t="s">
        <v>1015</v>
      </c>
      <c r="D525" s="7" t="s">
        <v>31</v>
      </c>
      <c r="E525" s="7" t="s">
        <v>1087</v>
      </c>
      <c r="F525" s="7">
        <v>120</v>
      </c>
      <c r="G525" s="7">
        <v>35</v>
      </c>
      <c r="H525" s="7">
        <v>3</v>
      </c>
      <c r="I525" s="7">
        <v>25</v>
      </c>
    </row>
    <row r="526" spans="1:9">
      <c r="A526" s="7" t="s">
        <v>1088</v>
      </c>
      <c r="B526" s="7" t="s">
        <v>1616</v>
      </c>
      <c r="C526" s="7" t="s">
        <v>1015</v>
      </c>
      <c r="D526" s="7" t="s">
        <v>31</v>
      </c>
      <c r="E526" s="7" t="s">
        <v>1089</v>
      </c>
      <c r="F526" s="7">
        <v>120</v>
      </c>
      <c r="G526" s="7">
        <v>14.5</v>
      </c>
      <c r="H526" s="7">
        <v>2</v>
      </c>
      <c r="I526" s="7">
        <v>50</v>
      </c>
    </row>
    <row r="527" spans="1:9">
      <c r="A527" s="7" t="s">
        <v>1090</v>
      </c>
      <c r="B527" s="7" t="s">
        <v>1617</v>
      </c>
      <c r="C527" s="7" t="s">
        <v>1015</v>
      </c>
      <c r="D527" s="7" t="s">
        <v>31</v>
      </c>
      <c r="E527" s="7" t="s">
        <v>1089</v>
      </c>
      <c r="F527" s="7">
        <v>120</v>
      </c>
      <c r="G527" s="7">
        <v>14.5</v>
      </c>
      <c r="H527" s="7">
        <v>3</v>
      </c>
      <c r="I527" s="7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Nguyên tắc</vt:lpstr>
      <vt:lpstr>Nguyên tắc Chung</vt:lpstr>
      <vt:lpstr>Import data</vt:lpstr>
      <vt:lpstr>Mã NVL, SP, Gia công</vt:lpstr>
      <vt:lpstr>Ma SP</vt:lpstr>
      <vt:lpstr>Gia công chính</vt:lpstr>
      <vt:lpstr>140421</vt:lpstr>
      <vt:lpstr>130421</vt:lpstr>
      <vt:lpstr>110421</vt:lpstr>
      <vt:lpstr>Mã kích thước</vt:lpstr>
      <vt:lpstr>DANH MUC SP</vt:lpstr>
      <vt:lpstr>'Mã NVL, SP, Gia công'!_FilterDatabase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QAQC</cp:lastModifiedBy>
  <cp:lastPrinted>2022-10-27T06:36:14Z</cp:lastPrinted>
  <dcterms:created xsi:type="dcterms:W3CDTF">2021-03-24T10:34:16Z</dcterms:created>
  <dcterms:modified xsi:type="dcterms:W3CDTF">2025-06-05T07:21:11Z</dcterms:modified>
</cp:coreProperties>
</file>